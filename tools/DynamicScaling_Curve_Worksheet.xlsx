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vanced Instances" sheetId="1" state="visible" r:id="rId3"/>
    <sheet name="Simple Instances" sheetId="2" state="visible" r:id="rId4"/>
    <sheet name="Open Worl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The group size the instance is made for. A full group always gets CurveCeiling.</t>
        </r>
      </text>
    </comment>
    <comment ref="B5" authorId="0">
      <text>
        <r>
          <rPr>
            <sz val="10"/>
            <rFont val="Arial"/>
            <family val="2"/>
          </rPr>
          <t xml:space="preserve">1 = AutoBalance inflection curve, 0 = straight line</t>
        </r>
      </text>
    </comment>
    <comment ref="B6" authorId="0">
      <text>
        <r>
          <rPr>
            <sz val="10"/>
            <rFont val="Arial"/>
            <family val="2"/>
          </rPr>
          <t xml:space="preserve">Where the curve is steepest, as a share of the expected players (0.5 = half the group).</t>
        </r>
      </text>
    </comment>
    <comment ref="B7" authorId="0">
      <text>
        <r>
          <rPr>
            <sz val="10"/>
            <rFont val="Arial"/>
            <family val="2"/>
          </rPr>
          <t xml:space="preserve">Multiplier for a full group (curve only; the straight line always ends at 1.0).</t>
        </r>
      </text>
    </comment>
    <comment ref="B8" authorId="0">
      <text>
        <r>
          <rPr>
            <sz val="10"/>
            <rFont val="Arial"/>
            <family val="2"/>
          </rPr>
          <t xml:space="preserve">CurveFloor for health</t>
        </r>
      </text>
    </comment>
    <comment ref="B9" authorId="0">
      <text>
        <r>
          <rPr>
            <sz val="10"/>
            <rFont val="Arial"/>
            <family val="2"/>
          </rPr>
          <t xml:space="preserve">CurveFloor for damage</t>
        </r>
      </text>
    </comment>
    <comment ref="B10" authorId="0">
      <text>
        <r>
          <rPr>
            <sz val="10"/>
            <rFont val="Arial"/>
            <family val="2"/>
          </rPr>
          <t xml:space="preserve">CurveFloor for mana</t>
        </r>
      </text>
    </comment>
    <comment ref="B11" authorId="0">
      <text>
        <r>
          <rPr>
            <sz val="10"/>
            <rFont val="Arial"/>
            <family val="2"/>
          </rPr>
          <t xml:space="preserve">Bosses use InflectionPoint x this.</t>
        </r>
      </text>
    </comment>
    <comment ref="B12" authorId="0">
      <text>
        <r>
          <rPr>
            <sz val="10"/>
            <rFont val="Arial"/>
            <family val="2"/>
          </rPr>
          <t xml:space="preserve">Bosses: health and damage x this.</t>
        </r>
      </text>
    </comment>
    <comment ref="B13" authorId="0">
      <text>
        <r>
          <rPr>
            <sz val="10"/>
            <rFont val="Arial"/>
            <family val="2"/>
          </rPr>
          <t xml:space="preserve">Global health multiplier</t>
        </r>
      </text>
    </comment>
    <comment ref="B14" authorId="0">
      <text>
        <r>
          <rPr>
            <sz val="10"/>
            <rFont val="Arial"/>
            <family val="2"/>
          </rPr>
          <t xml:space="preserve">Global damage multiplier</t>
        </r>
      </text>
    </comment>
    <comment ref="B15" authorId="0">
      <text>
        <r>
          <rPr>
            <sz val="10"/>
            <rFont val="Arial"/>
            <family val="2"/>
          </rPr>
          <t xml:space="preserve">This instance only</t>
        </r>
      </text>
    </comment>
    <comment ref="B16" authorId="0">
      <text>
        <r>
          <rPr>
            <sz val="10"/>
            <rFont val="Arial"/>
            <family val="2"/>
          </rPr>
          <t xml:space="preserve">This instance only</t>
        </r>
      </text>
    </comment>
    <comment ref="B17" authorId="0">
      <text>
        <r>
          <rPr>
            <sz val="10"/>
            <rFont val="Arial"/>
            <family val="2"/>
          </rPr>
          <t xml:space="preserve">This instance only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Percent per missing player</t>
        </r>
      </text>
    </comment>
    <comment ref="B6" authorId="0">
      <text>
        <r>
          <rPr>
            <sz val="10"/>
            <rFont val="Arial"/>
            <family val="2"/>
          </rPr>
          <t xml:space="preserve">Extra spell power per missing player, as a multiple of gear spell power</t>
        </r>
      </text>
    </comment>
    <comment ref="B7" authorId="0">
      <text>
        <r>
          <rPr>
            <sz val="10"/>
            <rFont val="Arial"/>
            <family val="2"/>
          </rPr>
          <t xml:space="preserve">This instance only</t>
        </r>
      </text>
    </comment>
    <comment ref="B8" authorId="0">
      <text>
        <r>
          <rPr>
            <sz val="10"/>
            <rFont val="Arial"/>
            <family val="2"/>
          </rPr>
          <t xml:space="preserve">Only to show the spell power column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Used for the spread</t>
        </r>
      </text>
    </comment>
    <comment ref="B6" authorId="0">
      <text>
        <r>
          <rPr>
            <sz val="10"/>
            <rFont val="Arial"/>
            <family val="2"/>
          </rPr>
          <t xml:space="preserve">0 = the creature's own level</t>
        </r>
      </text>
    </comment>
    <comment ref="B7" authorId="0">
      <text>
        <r>
          <rPr>
            <sz val="10"/>
            <rFont val="Arial"/>
            <family val="2"/>
          </rPr>
          <t xml:space="preserve">0 = the creature's own level</t>
        </r>
      </text>
    </comment>
    <comment ref="B9" authorId="0">
      <text>
        <r>
          <rPr>
            <sz val="10"/>
            <rFont val="Arial"/>
            <family val="2"/>
          </rPr>
          <t xml:space="preserve">Or the zone row's trail_levels</t>
        </r>
      </text>
    </comment>
  </commentList>
</comments>
</file>

<file path=xl/sharedStrings.xml><?xml version="1.0" encoding="utf-8"?>
<sst xmlns="http://schemas.openxmlformats.org/spreadsheetml/2006/main" count="81" uniqueCount="80">
  <si>
    <t xml:space="preserve">mod-dynamic-scaling: Advanced instance multipliers</t>
  </si>
  <si>
    <t xml:space="preserve">Change the yellow cells (blue text). Everything else is a formula. Same math as DynamicScalingMgr::AdvancedMultiplier; the curve is AutoBalance's inflection curve (its Curve Worksheet, columns D and F).</t>
  </si>
  <si>
    <t xml:space="preserve">Expected players</t>
  </si>
  <si>
    <t xml:space="preserve">dynamic_scaling_map.expected_players (5 dungeon, 10/25 raid)</t>
  </si>
  <si>
    <t xml:space="preserve">Curve</t>
  </si>
  <si>
    <t xml:space="preserve">DynamicScaling.Instance.Advanced.Curve</t>
  </si>
  <si>
    <t xml:space="preserve">InflectionPoint</t>
  </si>
  <si>
    <t xml:space="preserve">DynamicScaling.Instance.Advanced.InflectionPoint</t>
  </si>
  <si>
    <t xml:space="preserve">CurveCeiling</t>
  </si>
  <si>
    <t xml:space="preserve">DynamicScaling.Instance.Advanced.CurveCeiling</t>
  </si>
  <si>
    <t xml:space="preserve">HealthFloor</t>
  </si>
  <si>
    <t xml:space="preserve">DynamicScaling.Instance.Advanced.HealthFloor</t>
  </si>
  <si>
    <t xml:space="preserve">DamageFloor</t>
  </si>
  <si>
    <t xml:space="preserve">DynamicScaling.Instance.Advanced.DamageFloor</t>
  </si>
  <si>
    <t xml:space="preserve">ManaFloor</t>
  </si>
  <si>
    <t xml:space="preserve">DynamicScaling.Instance.Advanced.ManaFloor</t>
  </si>
  <si>
    <t xml:space="preserve">BossInflectionModifier</t>
  </si>
  <si>
    <t xml:space="preserve">DynamicScaling.Instance.Advanced.BossInflectionModifier</t>
  </si>
  <si>
    <t xml:space="preserve">BossMult</t>
  </si>
  <si>
    <t xml:space="preserve">DynamicScaling.Instance.Advanced.BossMult</t>
  </si>
  <si>
    <t xml:space="preserve">HealthMult</t>
  </si>
  <si>
    <t xml:space="preserve">DynamicScaling.Instance.Advanced.HealthMult</t>
  </si>
  <si>
    <t xml:space="preserve">DamageMult</t>
  </si>
  <si>
    <t xml:space="preserve">DynamicScaling.Instance.Advanced.DamageMult</t>
  </si>
  <si>
    <t xml:space="preserve">Map row health_mult</t>
  </si>
  <si>
    <t xml:space="preserve">dynamic_scaling_map.health_mult</t>
  </si>
  <si>
    <t xml:space="preserve">Map row damage_mult</t>
  </si>
  <si>
    <t xml:space="preserve">dynamic_scaling_map.damage_mult</t>
  </si>
  <si>
    <t xml:space="preserve">Map row mana_mult</t>
  </si>
  <si>
    <t xml:space="preserve">dynamic_scaling_map.mana_mult</t>
  </si>
  <si>
    <t xml:space="preserve">Players: 1 up to Expected players (rows past it stay empty)</t>
  </si>
  <si>
    <t xml:space="preserve">Players</t>
  </si>
  <si>
    <t xml:space="preserve">Health</t>
  </si>
  <si>
    <t xml:space="preserve">Damage</t>
  </si>
  <si>
    <t xml:space="preserve">Mana</t>
  </si>
  <si>
    <t xml:space="preserve">Boss health</t>
  </si>
  <si>
    <t xml:space="preserve">Boss damage</t>
  </si>
  <si>
    <t xml:space="preserve">Boss mana</t>
  </si>
  <si>
    <t xml:space="preserve">Health / damage / mana: multiplier on the creature's normal value for that many players.</t>
  </si>
  <si>
    <t xml:space="preserve">mod-dynamic-scaling: Simple instance buff (SoloCraft style)</t>
  </si>
  <si>
    <t xml:space="preserve">Players get +StatsMult% stats (and gear spell power x SpellPowerMult) for every missing player. Same math as DynamicScalingMgr::UpdatePlayerBuff.</t>
  </si>
  <si>
    <t xml:space="preserve">dynamic_scaling_map.expected_players</t>
  </si>
  <si>
    <t xml:space="preserve">StatsMult</t>
  </si>
  <si>
    <t xml:space="preserve">DynamicScaling.Instance.Simple.StatsMult</t>
  </si>
  <si>
    <t xml:space="preserve">SpellPowerMult</t>
  </si>
  <si>
    <t xml:space="preserve">DynamicScaling.Instance.Simple.SpellPowerMult</t>
  </si>
  <si>
    <t xml:space="preserve">Map row simple_mult</t>
  </si>
  <si>
    <t xml:space="preserve">dynamic_scaling_map.simple_mult</t>
  </si>
  <si>
    <t xml:space="preserve">Gear spell power (example)</t>
  </si>
  <si>
    <t xml:space="preserve">your character</t>
  </si>
  <si>
    <t xml:space="preserve">Group size</t>
  </si>
  <si>
    <t xml:space="preserve">Missing players</t>
  </si>
  <si>
    <t xml:space="preserve">Stats bonus</t>
  </si>
  <si>
    <t xml:space="preserve">Extra spell power</t>
  </si>
  <si>
    <t xml:space="preserve">mod-dynamic-scaling: open world creature levels</t>
  </si>
  <si>
    <t xml:space="preserve">What a creature becomes for a player of each level. Same math as DynamicScalingMgr::ComputeWorldLevel (Simple ignores the zone range, Advanced stays inside it).</t>
  </si>
  <si>
    <t xml:space="preserve">Creature own level</t>
  </si>
  <si>
    <t xml:space="preserve">creature_template minlevel-maxlevel roll</t>
  </si>
  <si>
    <t xml:space="preserve">Creature template min level</t>
  </si>
  <si>
    <t xml:space="preserve">creature_template.minlevel</t>
  </si>
  <si>
    <t xml:space="preserve">Zone level_min</t>
  </si>
  <si>
    <t xml:space="preserve">dynamic_scaling_zone.level_min</t>
  </si>
  <si>
    <t xml:space="preserve">Zone level_max</t>
  </si>
  <si>
    <t xml:space="preserve">dynamic_scaling_zone.level_max</t>
  </si>
  <si>
    <t xml:space="preserve">Simple.TrailLevels</t>
  </si>
  <si>
    <t xml:space="preserve">DynamicScaling.World.Simple.TrailLevels</t>
  </si>
  <si>
    <t xml:space="preserve">TrailLevels (Advanced)</t>
  </si>
  <si>
    <t xml:space="preserve">DynamicScaling.World.TrailLevels</t>
  </si>
  <si>
    <t xml:space="preserve">LevelSpread</t>
  </si>
  <si>
    <t xml:space="preserve">DynamicScaling.World.LevelSpread</t>
  </si>
  <si>
    <t xml:space="preserve">Rewards.MarginDown</t>
  </si>
  <si>
    <t xml:space="preserve">DynamicScaling.World.Rewards.MarginDown</t>
  </si>
  <si>
    <t xml:space="preserve">Rewards.MarginUp</t>
  </si>
  <si>
    <t xml:space="preserve">DynamicScaling.World.Rewards.MarginUp</t>
  </si>
  <si>
    <t xml:space="preserve">Player level</t>
  </si>
  <si>
    <t xml:space="preserve">Simple level</t>
  </si>
  <si>
    <t xml:space="preserve">Advanced level</t>
  </si>
  <si>
    <t xml:space="preserve">Simple: rewards</t>
  </si>
  <si>
    <t xml:space="preserve">Advanced: rewards</t>
  </si>
  <si>
    <t xml:space="preserve">rewards: "normal" = its own loot and gold; "scaled" = gold, level range loot tables and the item filter follow the scaled level.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</si>
</sst>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Creature multiplier by players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'Advanced Instances'!B20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Instances'!$A$21:$A$60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'Advanced Instances'!$B$21:$B$60</c:f>
              <c:numCache>
                <c:formatCode>0.000</c:formatCode>
                <c:ptCount val="40"/>
                <c:pt idx="0">
                  <c:v>0.386387236371741</c:v>
                </c:pt>
                <c:pt idx="1">
                  <c:v>0.545852360511746</c:v>
                </c:pt>
                <c:pt idx="2">
                  <c:v>0.778855011642374</c:v>
                </c:pt>
                <c:pt idx="3">
                  <c:v>0.938320135782379</c:v>
                </c:pt>
                <c:pt idx="4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'Advanced Instances'!C20</c:f>
              <c:strCache>
                <c:ptCount val="1"/>
                <c:pt idx="0">
                  <c:v>Damage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Instances'!$A$21:$A$60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'Advanced Instances'!$C$21:$C$60</c:f>
              <c:numCache>
                <c:formatCode>0.000</c:formatCode>
                <c:ptCount val="40"/>
                <c:pt idx="0">
                  <c:v>0.386387236371741</c:v>
                </c:pt>
                <c:pt idx="1">
                  <c:v>0.545852360511746</c:v>
                </c:pt>
                <c:pt idx="2">
                  <c:v>0.778855011642374</c:v>
                </c:pt>
                <c:pt idx="3">
                  <c:v>0.938320135782379</c:v>
                </c:pt>
                <c:pt idx="4">
                  <c:v>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'Advanced Instances'!D20</c:f>
              <c:strCache>
                <c:ptCount val="1"/>
                <c:pt idx="0">
                  <c:v>Mana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Instances'!$A$21:$A$60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'Advanced Instances'!$D$21:$D$60</c:f>
              <c:numCache>
                <c:formatCode>0.000</c:formatCode>
                <c:ptCount val="40"/>
                <c:pt idx="0">
                  <c:v>0.561690422338407</c:v>
                </c:pt>
                <c:pt idx="1">
                  <c:v>0.675566861377511</c:v>
                </c:pt>
                <c:pt idx="2">
                  <c:v>0.841957552386106</c:v>
                </c:pt>
                <c:pt idx="3">
                  <c:v>0.955833991425211</c:v>
                </c:pt>
                <c:pt idx="4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'Advanced Instances'!E20</c:f>
              <c:strCache>
                <c:ptCount val="1"/>
                <c:pt idx="0">
                  <c:v>Boss health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'Advanced Instances'!$A$21:$A$60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'Advanced Instances'!$E$21:$E$60</c:f>
              <c:numCache>
                <c:formatCode>0.000</c:formatCode>
                <c:ptCount val="40"/>
                <c:pt idx="0">
                  <c:v>0.386387236371741</c:v>
                </c:pt>
                <c:pt idx="1">
                  <c:v>0.545852360511746</c:v>
                </c:pt>
                <c:pt idx="2">
                  <c:v>0.778855011642374</c:v>
                </c:pt>
                <c:pt idx="3">
                  <c:v>0.938320135782379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347471"/>
        <c:axId val="63636088"/>
      </c:lineChart>
      <c:catAx>
        <c:axId val="933474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Players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36088"/>
        <c:crosses val="autoZero"/>
        <c:auto val="1"/>
        <c:lblAlgn val="ctr"/>
        <c:lblOffset val="100"/>
        <c:noMultiLvlLbl val="0"/>
      </c:catAx>
      <c:valAx>
        <c:axId val="63636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Multiplier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74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Stats bonus by group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'Simple Instances'!C11</c:f>
              <c:strCache>
                <c:ptCount val="1"/>
                <c:pt idx="0">
                  <c:v>Stats bonus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'Simple Instances'!$A$12:$A$51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'Simple Instances'!$C$12:$C$51</c:f>
              <c:numCache>
                <c:formatCode>0%</c:formatCode>
                <c:ptCount val="40"/>
                <c:pt idx="0">
                  <c:v>4</c:v>
                </c:pt>
                <c:pt idx="1">
                  <c:v>1.5</c:v>
                </c:pt>
                <c:pt idx="2">
                  <c:v>0.666666666666667</c:v>
                </c:pt>
                <c:pt idx="3">
                  <c:v>0.25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384114"/>
        <c:axId val="29300586"/>
      </c:lineChart>
      <c:catAx>
        <c:axId val="97384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Group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00586"/>
        <c:crosses val="autoZero"/>
        <c:auto val="1"/>
        <c:lblAlgn val="ctr"/>
        <c:lblOffset val="100"/>
        <c:noMultiLvlLbl val="0"/>
      </c:catAx>
      <c:valAx>
        <c:axId val="29300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Stats bonus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84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Creature level by player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'Open World'!B15</c:f>
              <c:strCache>
                <c:ptCount val="1"/>
                <c:pt idx="0">
                  <c:v>Simple level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World'!$A$16:$A$95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'Open World'!$B$16:$B$95</c:f>
              <c:numCache>
                <c:formatCode>General</c:formatCode>
                <c:ptCount val="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'Open World'!C15</c:f>
              <c:strCache>
                <c:ptCount val="1"/>
                <c:pt idx="0">
                  <c:v>Advanced level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World'!$A$16:$A$95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'Open World'!$C$16:$C$95</c:f>
              <c:numCache>
                <c:formatCode>General</c:formatCode>
                <c:ptCount val="8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84309"/>
        <c:axId val="62436524"/>
      </c:lineChart>
      <c:catAx>
        <c:axId val="19843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Player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36524"/>
        <c:crosses val="autoZero"/>
        <c:auto val="1"/>
        <c:lblAlgn val="ctr"/>
        <c:lblOffset val="100"/>
        <c:noMultiLvlLbl val="0"/>
      </c:catAx>
      <c:valAx>
        <c:axId val="62436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Creature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4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4680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73782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507600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643896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4680</xdr:colOff>
      <xdr:row>19</xdr:row>
      <xdr:rowOff>11520</xdr:rowOff>
    </xdr:to>
    <xdr:graphicFrame>
      <xdr:nvGraphicFramePr>
        <xdr:cNvPr id="2" name="Chart 1"/>
        <xdr:cNvGraphicFramePr/>
      </xdr:nvGraphicFramePr>
      <xdr:xfrm>
        <a:off x="77076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2</v>
      </c>
      <c r="B4" s="5" t="n">
        <v>5</v>
      </c>
      <c r="C4" s="3" t="s">
        <v>3</v>
      </c>
      <c r="D4" s="2"/>
      <c r="E4" s="2"/>
      <c r="F4" s="2"/>
      <c r="G4" s="2"/>
    </row>
    <row r="5" customFormat="false" ht="15" hidden="false" customHeight="false" outlineLevel="0" collapsed="false">
      <c r="A5" s="4" t="s">
        <v>4</v>
      </c>
      <c r="B5" s="5" t="n">
        <v>1</v>
      </c>
      <c r="C5" s="3" t="s">
        <v>5</v>
      </c>
      <c r="D5" s="2"/>
      <c r="E5" s="2"/>
      <c r="F5" s="2"/>
      <c r="G5" s="2"/>
    </row>
    <row r="6" customFormat="false" ht="15" hidden="false" customHeight="false" outlineLevel="0" collapsed="false">
      <c r="A6" s="4" t="s">
        <v>6</v>
      </c>
      <c r="B6" s="6" t="n">
        <v>0.5</v>
      </c>
      <c r="C6" s="3" t="s">
        <v>7</v>
      </c>
      <c r="D6" s="2"/>
      <c r="E6" s="2"/>
      <c r="F6" s="2"/>
      <c r="G6" s="2"/>
    </row>
    <row r="7" customFormat="false" ht="15" hidden="false" customHeight="false" outlineLevel="0" collapsed="false">
      <c r="A7" s="4" t="s">
        <v>8</v>
      </c>
      <c r="B7" s="6" t="n">
        <v>1</v>
      </c>
      <c r="C7" s="3" t="s">
        <v>9</v>
      </c>
      <c r="D7" s="2"/>
      <c r="E7" s="2"/>
      <c r="F7" s="2"/>
      <c r="G7" s="2"/>
    </row>
    <row r="8" customFormat="false" ht="15" hidden="false" customHeight="false" outlineLevel="0" collapsed="false">
      <c r="A8" s="4" t="s">
        <v>10</v>
      </c>
      <c r="B8" s="6" t="n">
        <v>0.3</v>
      </c>
      <c r="C8" s="3" t="s">
        <v>11</v>
      </c>
      <c r="D8" s="2"/>
      <c r="E8" s="2"/>
      <c r="F8" s="2"/>
      <c r="G8" s="2"/>
    </row>
    <row r="9" customFormat="false" ht="15" hidden="false" customHeight="false" outlineLevel="0" collapsed="false">
      <c r="A9" s="4" t="s">
        <v>12</v>
      </c>
      <c r="B9" s="6" t="n">
        <v>0.3</v>
      </c>
      <c r="C9" s="3" t="s">
        <v>13</v>
      </c>
      <c r="D9" s="2"/>
      <c r="E9" s="2"/>
      <c r="F9" s="2"/>
      <c r="G9" s="2"/>
    </row>
    <row r="10" customFormat="false" ht="15" hidden="false" customHeight="false" outlineLevel="0" collapsed="false">
      <c r="A10" s="4" t="s">
        <v>14</v>
      </c>
      <c r="B10" s="6" t="n">
        <v>0.5</v>
      </c>
      <c r="C10" s="3" t="s">
        <v>15</v>
      </c>
      <c r="D10" s="2"/>
      <c r="E10" s="2"/>
      <c r="F10" s="2"/>
      <c r="G10" s="2"/>
    </row>
    <row r="11" customFormat="false" ht="15" hidden="false" customHeight="false" outlineLevel="0" collapsed="false">
      <c r="A11" s="4" t="s">
        <v>16</v>
      </c>
      <c r="B11" s="6" t="n">
        <v>1</v>
      </c>
      <c r="C11" s="3" t="s">
        <v>17</v>
      </c>
      <c r="D11" s="2"/>
      <c r="E11" s="2"/>
      <c r="F11" s="2"/>
      <c r="G11" s="2"/>
    </row>
    <row r="12" customFormat="false" ht="15" hidden="false" customHeight="false" outlineLevel="0" collapsed="false">
      <c r="A12" s="4" t="s">
        <v>18</v>
      </c>
      <c r="B12" s="6" t="n">
        <v>1</v>
      </c>
      <c r="C12" s="3" t="s">
        <v>19</v>
      </c>
      <c r="D12" s="2"/>
      <c r="E12" s="2"/>
      <c r="F12" s="2"/>
      <c r="G12" s="2"/>
    </row>
    <row r="13" customFormat="false" ht="15" hidden="false" customHeight="false" outlineLevel="0" collapsed="false">
      <c r="A13" s="4" t="s">
        <v>20</v>
      </c>
      <c r="B13" s="6" t="n">
        <v>1</v>
      </c>
      <c r="C13" s="3" t="s">
        <v>21</v>
      </c>
      <c r="D13" s="2"/>
      <c r="E13" s="2"/>
      <c r="F13" s="2"/>
      <c r="G13" s="2"/>
    </row>
    <row r="14" customFormat="false" ht="15" hidden="false" customHeight="false" outlineLevel="0" collapsed="false">
      <c r="A14" s="4" t="s">
        <v>22</v>
      </c>
      <c r="B14" s="6" t="n">
        <v>1</v>
      </c>
      <c r="C14" s="3" t="s">
        <v>23</v>
      </c>
      <c r="D14" s="2"/>
      <c r="E14" s="2"/>
      <c r="F14" s="2"/>
      <c r="G14" s="2"/>
    </row>
    <row r="15" customFormat="false" ht="15" hidden="false" customHeight="false" outlineLevel="0" collapsed="false">
      <c r="A15" s="4" t="s">
        <v>24</v>
      </c>
      <c r="B15" s="6" t="n">
        <v>1</v>
      </c>
      <c r="C15" s="3" t="s">
        <v>25</v>
      </c>
      <c r="D15" s="2"/>
      <c r="E15" s="2"/>
      <c r="F15" s="2"/>
      <c r="G15" s="2"/>
    </row>
    <row r="16" customFormat="false" ht="15" hidden="false" customHeight="false" outlineLevel="0" collapsed="false">
      <c r="A16" s="4" t="s">
        <v>26</v>
      </c>
      <c r="B16" s="6" t="n">
        <v>1</v>
      </c>
      <c r="C16" s="3" t="s">
        <v>27</v>
      </c>
      <c r="D16" s="2"/>
      <c r="E16" s="2"/>
      <c r="F16" s="2"/>
      <c r="G16" s="2"/>
    </row>
    <row r="17" customFormat="false" ht="15" hidden="false" customHeight="false" outlineLevel="0" collapsed="false">
      <c r="A17" s="4" t="s">
        <v>28</v>
      </c>
      <c r="B17" s="6" t="n">
        <v>1</v>
      </c>
      <c r="C17" s="3" t="s">
        <v>29</v>
      </c>
      <c r="D17" s="2"/>
      <c r="E17" s="2"/>
      <c r="F17" s="2"/>
      <c r="G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3" t="s">
        <v>30</v>
      </c>
      <c r="B19" s="2"/>
      <c r="C19" s="2"/>
      <c r="D19" s="2"/>
      <c r="E19" s="2"/>
      <c r="F19" s="2"/>
      <c r="G19" s="2"/>
    </row>
    <row r="20" customFormat="false" ht="26.85" hidden="false" customHeight="false" outlineLevel="0" collapsed="false">
      <c r="A20" s="7" t="s">
        <v>31</v>
      </c>
      <c r="B20" s="7" t="s">
        <v>32</v>
      </c>
      <c r="C20" s="7" t="s">
        <v>33</v>
      </c>
      <c r="D20" s="7" t="s">
        <v>34</v>
      </c>
      <c r="E20" s="7" t="s">
        <v>35</v>
      </c>
      <c r="F20" s="7" t="s">
        <v>36</v>
      </c>
      <c r="G20" s="7" t="s">
        <v>37</v>
      </c>
    </row>
    <row r="21" customFormat="false" ht="15" hidden="false" customHeight="false" outlineLevel="0" collapsed="false">
      <c r="A21" s="4" t="n">
        <v>1</v>
      </c>
      <c r="B21" s="8" t="n">
        <f aca="false">IF($A21="","",IF($B$5=0,($B$8+(1-$B$8)*MIN($A21,$B$4)/$B$4),IF($A21&gt;=$B$4,MAX($B$7,0),(((TANH(($A21-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>0.386387236371741</v>
      </c>
      <c r="C21" s="8" t="n">
        <f aca="false">IF($A21="","",IF($B$5=0,($B$9+(1-$B$9)*MIN($A21,$B$4)/$B$4),IF($A21&gt;=$B$4,MAX($B$7,0),(((TANH(($A21-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>0.386387236371741</v>
      </c>
      <c r="D21" s="8" t="n">
        <f aca="false">IF($A21="","",IF($B$5=0,($B$10+(1-$B$10)*MIN($A21,$B$4)/$B$4),IF($A21&gt;=$B$4,MAX($B$7,0),(((TANH(($A21-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>0.561690422338407</v>
      </c>
      <c r="E21" s="8" t="n">
        <f aca="false">IF($A21="","",IF($B$5=0,($B$8+(1-$B$8)*MIN($A21,$B$4)/$B$4),IF($A21&gt;=$B$4,MAX($B$7,0),(((TANH(($A21-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>0.386387236371741</v>
      </c>
      <c r="F21" s="8" t="n">
        <f aca="false">IF($A21="","",IF($B$5=0,($B$9+(1-$B$9)*MIN($A21,$B$4)/$B$4),IF($A21&gt;=$B$4,MAX($B$7,0),(((TANH(($A21-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>0.386387236371741</v>
      </c>
      <c r="G21" s="8" t="n">
        <f aca="false">IF($A21="","",IF($B$5=0,($B$10+(1-$B$10)*MIN($A21,$B$4)/$B$4),IF($A21&gt;=$B$4,MAX($B$7,0),(((TANH(($A21-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>0.561690422338407</v>
      </c>
    </row>
    <row r="22" customFormat="false" ht="15" hidden="false" customHeight="false" outlineLevel="0" collapsed="false">
      <c r="A22" s="4" t="n">
        <f aca="false">IF(A21="","",IF(A21&lt;$B$4,A21+1,""))</f>
        <v>2</v>
      </c>
      <c r="B22" s="8" t="n">
        <f aca="false">IF($A22="","",IF($B$5=0,($B$8+(1-$B$8)*MIN($A22,$B$4)/$B$4),IF($A22&gt;=$B$4,MAX($B$7,0),(((TANH(($A22-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>0.545852360511746</v>
      </c>
      <c r="C22" s="8" t="n">
        <f aca="false">IF($A22="","",IF($B$5=0,($B$9+(1-$B$9)*MIN($A22,$B$4)/$B$4),IF($A22&gt;=$B$4,MAX($B$7,0),(((TANH(($A22-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>0.545852360511746</v>
      </c>
      <c r="D22" s="8" t="n">
        <f aca="false">IF($A22="","",IF($B$5=0,($B$10+(1-$B$10)*MIN($A22,$B$4)/$B$4),IF($A22&gt;=$B$4,MAX($B$7,0),(((TANH(($A22-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>0.675566861377511</v>
      </c>
      <c r="E22" s="8" t="n">
        <f aca="false">IF($A22="","",IF($B$5=0,($B$8+(1-$B$8)*MIN($A22,$B$4)/$B$4),IF($A22&gt;=$B$4,MAX($B$7,0),(((TANH(($A22-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>0.545852360511746</v>
      </c>
      <c r="F22" s="8" t="n">
        <f aca="false">IF($A22="","",IF($B$5=0,($B$9+(1-$B$9)*MIN($A22,$B$4)/$B$4),IF($A22&gt;=$B$4,MAX($B$7,0),(((TANH(($A22-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>0.545852360511746</v>
      </c>
      <c r="G22" s="8" t="n">
        <f aca="false">IF($A22="","",IF($B$5=0,($B$10+(1-$B$10)*MIN($A22,$B$4)/$B$4),IF($A22&gt;=$B$4,MAX($B$7,0),(((TANH(($A22-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>0.675566861377511</v>
      </c>
    </row>
    <row r="23" customFormat="false" ht="15" hidden="false" customHeight="false" outlineLevel="0" collapsed="false">
      <c r="A23" s="4" t="n">
        <f aca="false">IF(A22="","",IF(A22&lt;$B$4,A22+1,""))</f>
        <v>3</v>
      </c>
      <c r="B23" s="8" t="n">
        <f aca="false">IF($A23="","",IF($B$5=0,($B$8+(1-$B$8)*MIN($A23,$B$4)/$B$4),IF($A23&gt;=$B$4,MAX($B$7,0),(((TANH(($A23-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>0.778855011642374</v>
      </c>
      <c r="C23" s="8" t="n">
        <f aca="false">IF($A23="","",IF($B$5=0,($B$9+(1-$B$9)*MIN($A23,$B$4)/$B$4),IF($A23&gt;=$B$4,MAX($B$7,0),(((TANH(($A23-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>0.778855011642374</v>
      </c>
      <c r="D23" s="8" t="n">
        <f aca="false">IF($A23="","",IF($B$5=0,($B$10+(1-$B$10)*MIN($A23,$B$4)/$B$4),IF($A23&gt;=$B$4,MAX($B$7,0),(((TANH(($A23-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>0.841957552386106</v>
      </c>
      <c r="E23" s="8" t="n">
        <f aca="false">IF($A23="","",IF($B$5=0,($B$8+(1-$B$8)*MIN($A23,$B$4)/$B$4),IF($A23&gt;=$B$4,MAX($B$7,0),(((TANH(($A23-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>0.778855011642374</v>
      </c>
      <c r="F23" s="8" t="n">
        <f aca="false">IF($A23="","",IF($B$5=0,($B$9+(1-$B$9)*MIN($A23,$B$4)/$B$4),IF($A23&gt;=$B$4,MAX($B$7,0),(((TANH(($A23-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>0.778855011642374</v>
      </c>
      <c r="G23" s="8" t="n">
        <f aca="false">IF($A23="","",IF($B$5=0,($B$10+(1-$B$10)*MIN($A23,$B$4)/$B$4),IF($A23&gt;=$B$4,MAX($B$7,0),(((TANH(($A23-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>0.841957552386106</v>
      </c>
    </row>
    <row r="24" customFormat="false" ht="15" hidden="false" customHeight="false" outlineLevel="0" collapsed="false">
      <c r="A24" s="4" t="n">
        <f aca="false">IF(A23="","",IF(A23&lt;$B$4,A23+1,""))</f>
        <v>4</v>
      </c>
      <c r="B24" s="8" t="n">
        <f aca="false">IF($A24="","",IF($B$5=0,($B$8+(1-$B$8)*MIN($A24,$B$4)/$B$4),IF($A24&gt;=$B$4,MAX($B$7,0),(((TANH(($A24-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>0.938320135782379</v>
      </c>
      <c r="C24" s="8" t="n">
        <f aca="false">IF($A24="","",IF($B$5=0,($B$9+(1-$B$9)*MIN($A24,$B$4)/$B$4),IF($A24&gt;=$B$4,MAX($B$7,0),(((TANH(($A24-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>0.938320135782379</v>
      </c>
      <c r="D24" s="8" t="n">
        <f aca="false">IF($A24="","",IF($B$5=0,($B$10+(1-$B$10)*MIN($A24,$B$4)/$B$4),IF($A24&gt;=$B$4,MAX($B$7,0),(((TANH(($A24-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>0.955833991425211</v>
      </c>
      <c r="E24" s="8" t="n">
        <f aca="false">IF($A24="","",IF($B$5=0,($B$8+(1-$B$8)*MIN($A24,$B$4)/$B$4),IF($A24&gt;=$B$4,MAX($B$7,0),(((TANH(($A24-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>0.938320135782379</v>
      </c>
      <c r="F24" s="8" t="n">
        <f aca="false">IF($A24="","",IF($B$5=0,($B$9+(1-$B$9)*MIN($A24,$B$4)/$B$4),IF($A24&gt;=$B$4,MAX($B$7,0),(((TANH(($A24-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>0.938320135782379</v>
      </c>
      <c r="G24" s="8" t="n">
        <f aca="false">IF($A24="","",IF($B$5=0,($B$10+(1-$B$10)*MIN($A24,$B$4)/$B$4),IF($A24&gt;=$B$4,MAX($B$7,0),(((TANH(($A24-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>0.955833991425211</v>
      </c>
    </row>
    <row r="25" customFormat="false" ht="15" hidden="false" customHeight="false" outlineLevel="0" collapsed="false">
      <c r="A25" s="4" t="n">
        <f aca="false">IF(A24="","",IF(A24&lt;$B$4,A24+1,""))</f>
        <v>5</v>
      </c>
      <c r="B25" s="8" t="n">
        <f aca="false">IF($A25="","",IF($B$5=0,($B$8+(1-$B$8)*MIN($A25,$B$4)/$B$4),IF($A25&gt;=$B$4,MAX($B$7,0),(((TANH(($A25-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>1</v>
      </c>
      <c r="C25" s="8" t="n">
        <f aca="false">IF($A25="","",IF($B$5=0,($B$9+(1-$B$9)*MIN($A25,$B$4)/$B$4),IF($A25&gt;=$B$4,MAX($B$7,0),(((TANH(($A25-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>1</v>
      </c>
      <c r="D25" s="8" t="n">
        <f aca="false">IF($A25="","",IF($B$5=0,($B$10+(1-$B$10)*MIN($A25,$B$4)/$B$4),IF($A25&gt;=$B$4,MAX($B$7,0),(((TANH(($A25-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>1</v>
      </c>
      <c r="E25" s="8" t="n">
        <f aca="false">IF($A25="","",IF($B$5=0,($B$8+(1-$B$8)*MIN($A25,$B$4)/$B$4),IF($A25&gt;=$B$4,MAX($B$7,0),(((TANH(($A25-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>1</v>
      </c>
      <c r="F25" s="8" t="n">
        <f aca="false">IF($A25="","",IF($B$5=0,($B$9+(1-$B$9)*MIN($A25,$B$4)/$B$4),IF($A25&gt;=$B$4,MAX($B$7,0),(((TANH(($A25-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>1</v>
      </c>
      <c r="G25" s="8" t="n">
        <f aca="false">IF($A25="","",IF($B$5=0,($B$10+(1-$B$10)*MIN($A25,$B$4)/$B$4),IF($A25&gt;=$B$4,MAX($B$7,0),(((TANH(($A25-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>1</v>
      </c>
    </row>
    <row r="26" customFormat="false" ht="15" hidden="false" customHeight="false" outlineLevel="0" collapsed="false">
      <c r="A26" s="4" t="str">
        <f aca="false">IF(A25="","",IF(A25&lt;$B$4,A25+1,""))</f>
        <v/>
      </c>
      <c r="B26" s="8" t="str">
        <f aca="false">IF($A26="","",IF($B$5=0,($B$8+(1-$B$8)*MIN($A26,$B$4)/$B$4),IF($A26&gt;=$B$4,MAX($B$7,0),(((TANH(($A26-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26" s="8" t="str">
        <f aca="false">IF($A26="","",IF($B$5=0,($B$9+(1-$B$9)*MIN($A26,$B$4)/$B$4),IF($A26&gt;=$B$4,MAX($B$7,0),(((TANH(($A26-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26" s="8" t="str">
        <f aca="false">IF($A26="","",IF($B$5=0,($B$10+(1-$B$10)*MIN($A26,$B$4)/$B$4),IF($A26&gt;=$B$4,MAX($B$7,0),(((TANH(($A26-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26" s="8" t="str">
        <f aca="false">IF($A26="","",IF($B$5=0,($B$8+(1-$B$8)*MIN($A26,$B$4)/$B$4),IF($A26&gt;=$B$4,MAX($B$7,0),(((TANH(($A26-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26" s="8" t="str">
        <f aca="false">IF($A26="","",IF($B$5=0,($B$9+(1-$B$9)*MIN($A26,$B$4)/$B$4),IF($A26&gt;=$B$4,MAX($B$7,0),(((TANH(($A26-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26" s="8" t="str">
        <f aca="false">IF($A26="","",IF($B$5=0,($B$10+(1-$B$10)*MIN($A26,$B$4)/$B$4),IF($A26&gt;=$B$4,MAX($B$7,0),(((TANH(($A26-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27" customFormat="false" ht="15" hidden="false" customHeight="false" outlineLevel="0" collapsed="false">
      <c r="A27" s="4" t="str">
        <f aca="false">IF(A26="","",IF(A26&lt;$B$4,A26+1,""))</f>
        <v/>
      </c>
      <c r="B27" s="8" t="str">
        <f aca="false">IF($A27="","",IF($B$5=0,($B$8+(1-$B$8)*MIN($A27,$B$4)/$B$4),IF($A27&gt;=$B$4,MAX($B$7,0),(((TANH(($A27-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27" s="8" t="str">
        <f aca="false">IF($A27="","",IF($B$5=0,($B$9+(1-$B$9)*MIN($A27,$B$4)/$B$4),IF($A27&gt;=$B$4,MAX($B$7,0),(((TANH(($A27-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27" s="8" t="str">
        <f aca="false">IF($A27="","",IF($B$5=0,($B$10+(1-$B$10)*MIN($A27,$B$4)/$B$4),IF($A27&gt;=$B$4,MAX($B$7,0),(((TANH(($A27-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27" s="8" t="str">
        <f aca="false">IF($A27="","",IF($B$5=0,($B$8+(1-$B$8)*MIN($A27,$B$4)/$B$4),IF($A27&gt;=$B$4,MAX($B$7,0),(((TANH(($A27-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27" s="8" t="str">
        <f aca="false">IF($A27="","",IF($B$5=0,($B$9+(1-$B$9)*MIN($A27,$B$4)/$B$4),IF($A27&gt;=$B$4,MAX($B$7,0),(((TANH(($A27-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27" s="8" t="str">
        <f aca="false">IF($A27="","",IF($B$5=0,($B$10+(1-$B$10)*MIN($A27,$B$4)/$B$4),IF($A27&gt;=$B$4,MAX($B$7,0),(((TANH(($A27-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28" customFormat="false" ht="15" hidden="false" customHeight="false" outlineLevel="0" collapsed="false">
      <c r="A28" s="4" t="str">
        <f aca="false">IF(A27="","",IF(A27&lt;$B$4,A27+1,""))</f>
        <v/>
      </c>
      <c r="B28" s="8" t="str">
        <f aca="false">IF($A28="","",IF($B$5=0,($B$8+(1-$B$8)*MIN($A28,$B$4)/$B$4),IF($A28&gt;=$B$4,MAX($B$7,0),(((TANH(($A28-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28" s="8" t="str">
        <f aca="false">IF($A28="","",IF($B$5=0,($B$9+(1-$B$9)*MIN($A28,$B$4)/$B$4),IF($A28&gt;=$B$4,MAX($B$7,0),(((TANH(($A28-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28" s="8" t="str">
        <f aca="false">IF($A28="","",IF($B$5=0,($B$10+(1-$B$10)*MIN($A28,$B$4)/$B$4),IF($A28&gt;=$B$4,MAX($B$7,0),(((TANH(($A28-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28" s="8" t="str">
        <f aca="false">IF($A28="","",IF($B$5=0,($B$8+(1-$B$8)*MIN($A28,$B$4)/$B$4),IF($A28&gt;=$B$4,MAX($B$7,0),(((TANH(($A28-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28" s="8" t="str">
        <f aca="false">IF($A28="","",IF($B$5=0,($B$9+(1-$B$9)*MIN($A28,$B$4)/$B$4),IF($A28&gt;=$B$4,MAX($B$7,0),(((TANH(($A28-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28" s="8" t="str">
        <f aca="false">IF($A28="","",IF($B$5=0,($B$10+(1-$B$10)*MIN($A28,$B$4)/$B$4),IF($A28&gt;=$B$4,MAX($B$7,0),(((TANH(($A28-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29" customFormat="false" ht="15" hidden="false" customHeight="false" outlineLevel="0" collapsed="false">
      <c r="A29" s="4" t="str">
        <f aca="false">IF(A28="","",IF(A28&lt;$B$4,A28+1,""))</f>
        <v/>
      </c>
      <c r="B29" s="8" t="str">
        <f aca="false">IF($A29="","",IF($B$5=0,($B$8+(1-$B$8)*MIN($A29,$B$4)/$B$4),IF($A29&gt;=$B$4,MAX($B$7,0),(((TANH(($A29-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29" s="8" t="str">
        <f aca="false">IF($A29="","",IF($B$5=0,($B$9+(1-$B$9)*MIN($A29,$B$4)/$B$4),IF($A29&gt;=$B$4,MAX($B$7,0),(((TANH(($A29-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29" s="8" t="str">
        <f aca="false">IF($A29="","",IF($B$5=0,($B$10+(1-$B$10)*MIN($A29,$B$4)/$B$4),IF($A29&gt;=$B$4,MAX($B$7,0),(((TANH(($A29-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29" s="8" t="str">
        <f aca="false">IF($A29="","",IF($B$5=0,($B$8+(1-$B$8)*MIN($A29,$B$4)/$B$4),IF($A29&gt;=$B$4,MAX($B$7,0),(((TANH(($A29-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29" s="8" t="str">
        <f aca="false">IF($A29="","",IF($B$5=0,($B$9+(1-$B$9)*MIN($A29,$B$4)/$B$4),IF($A29&gt;=$B$4,MAX($B$7,0),(((TANH(($A29-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29" s="8" t="str">
        <f aca="false">IF($A29="","",IF($B$5=0,($B$10+(1-$B$10)*MIN($A29,$B$4)/$B$4),IF($A29&gt;=$B$4,MAX($B$7,0),(((TANH(($A29-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0" customFormat="false" ht="15" hidden="false" customHeight="false" outlineLevel="0" collapsed="false">
      <c r="A30" s="4" t="str">
        <f aca="false">IF(A29="","",IF(A29&lt;$B$4,A29+1,""))</f>
        <v/>
      </c>
      <c r="B30" s="8" t="str">
        <f aca="false">IF($A30="","",IF($B$5=0,($B$8+(1-$B$8)*MIN($A30,$B$4)/$B$4),IF($A30&gt;=$B$4,MAX($B$7,0),(((TANH(($A30-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0" s="8" t="str">
        <f aca="false">IF($A30="","",IF($B$5=0,($B$9+(1-$B$9)*MIN($A30,$B$4)/$B$4),IF($A30&gt;=$B$4,MAX($B$7,0),(((TANH(($A30-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0" s="8" t="str">
        <f aca="false">IF($A30="","",IF($B$5=0,($B$10+(1-$B$10)*MIN($A30,$B$4)/$B$4),IF($A30&gt;=$B$4,MAX($B$7,0),(((TANH(($A30-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0" s="8" t="str">
        <f aca="false">IF($A30="","",IF($B$5=0,($B$8+(1-$B$8)*MIN($A30,$B$4)/$B$4),IF($A30&gt;=$B$4,MAX($B$7,0),(((TANH(($A30-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0" s="8" t="str">
        <f aca="false">IF($A30="","",IF($B$5=0,($B$9+(1-$B$9)*MIN($A30,$B$4)/$B$4),IF($A30&gt;=$B$4,MAX($B$7,0),(((TANH(($A30-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0" s="8" t="str">
        <f aca="false">IF($A30="","",IF($B$5=0,($B$10+(1-$B$10)*MIN($A30,$B$4)/$B$4),IF($A30&gt;=$B$4,MAX($B$7,0),(((TANH(($A30-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1" customFormat="false" ht="15" hidden="false" customHeight="false" outlineLevel="0" collapsed="false">
      <c r="A31" s="4" t="str">
        <f aca="false">IF(A30="","",IF(A30&lt;$B$4,A30+1,""))</f>
        <v/>
      </c>
      <c r="B31" s="8" t="str">
        <f aca="false">IF($A31="","",IF($B$5=0,($B$8+(1-$B$8)*MIN($A31,$B$4)/$B$4),IF($A31&gt;=$B$4,MAX($B$7,0),(((TANH(($A31-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1" s="8" t="str">
        <f aca="false">IF($A31="","",IF($B$5=0,($B$9+(1-$B$9)*MIN($A31,$B$4)/$B$4),IF($A31&gt;=$B$4,MAX($B$7,0),(((TANH(($A31-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1" s="8" t="str">
        <f aca="false">IF($A31="","",IF($B$5=0,($B$10+(1-$B$10)*MIN($A31,$B$4)/$B$4),IF($A31&gt;=$B$4,MAX($B$7,0),(((TANH(($A31-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1" s="8" t="str">
        <f aca="false">IF($A31="","",IF($B$5=0,($B$8+(1-$B$8)*MIN($A31,$B$4)/$B$4),IF($A31&gt;=$B$4,MAX($B$7,0),(((TANH(($A31-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1" s="8" t="str">
        <f aca="false">IF($A31="","",IF($B$5=0,($B$9+(1-$B$9)*MIN($A31,$B$4)/$B$4),IF($A31&gt;=$B$4,MAX($B$7,0),(((TANH(($A31-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1" s="8" t="str">
        <f aca="false">IF($A31="","",IF($B$5=0,($B$10+(1-$B$10)*MIN($A31,$B$4)/$B$4),IF($A31&gt;=$B$4,MAX($B$7,0),(((TANH(($A31-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2" customFormat="false" ht="15" hidden="false" customHeight="false" outlineLevel="0" collapsed="false">
      <c r="A32" s="4" t="str">
        <f aca="false">IF(A31="","",IF(A31&lt;$B$4,A31+1,""))</f>
        <v/>
      </c>
      <c r="B32" s="8" t="str">
        <f aca="false">IF($A32="","",IF($B$5=0,($B$8+(1-$B$8)*MIN($A32,$B$4)/$B$4),IF($A32&gt;=$B$4,MAX($B$7,0),(((TANH(($A32-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2" s="8" t="str">
        <f aca="false">IF($A32="","",IF($B$5=0,($B$9+(1-$B$9)*MIN($A32,$B$4)/$B$4),IF($A32&gt;=$B$4,MAX($B$7,0),(((TANH(($A32-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2" s="8" t="str">
        <f aca="false">IF($A32="","",IF($B$5=0,($B$10+(1-$B$10)*MIN($A32,$B$4)/$B$4),IF($A32&gt;=$B$4,MAX($B$7,0),(((TANH(($A32-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2" s="8" t="str">
        <f aca="false">IF($A32="","",IF($B$5=0,($B$8+(1-$B$8)*MIN($A32,$B$4)/$B$4),IF($A32&gt;=$B$4,MAX($B$7,0),(((TANH(($A32-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2" s="8" t="str">
        <f aca="false">IF($A32="","",IF($B$5=0,($B$9+(1-$B$9)*MIN($A32,$B$4)/$B$4),IF($A32&gt;=$B$4,MAX($B$7,0),(((TANH(($A32-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2" s="8" t="str">
        <f aca="false">IF($A32="","",IF($B$5=0,($B$10+(1-$B$10)*MIN($A32,$B$4)/$B$4),IF($A32&gt;=$B$4,MAX($B$7,0),(((TANH(($A32-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3" customFormat="false" ht="15" hidden="false" customHeight="false" outlineLevel="0" collapsed="false">
      <c r="A33" s="4" t="str">
        <f aca="false">IF(A32="","",IF(A32&lt;$B$4,A32+1,""))</f>
        <v/>
      </c>
      <c r="B33" s="8" t="str">
        <f aca="false">IF($A33="","",IF($B$5=0,($B$8+(1-$B$8)*MIN($A33,$B$4)/$B$4),IF($A33&gt;=$B$4,MAX($B$7,0),(((TANH(($A33-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3" s="8" t="str">
        <f aca="false">IF($A33="","",IF($B$5=0,($B$9+(1-$B$9)*MIN($A33,$B$4)/$B$4),IF($A33&gt;=$B$4,MAX($B$7,0),(((TANH(($A33-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3" s="8" t="str">
        <f aca="false">IF($A33="","",IF($B$5=0,($B$10+(1-$B$10)*MIN($A33,$B$4)/$B$4),IF($A33&gt;=$B$4,MAX($B$7,0),(((TANH(($A33-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3" s="8" t="str">
        <f aca="false">IF($A33="","",IF($B$5=0,($B$8+(1-$B$8)*MIN($A33,$B$4)/$B$4),IF($A33&gt;=$B$4,MAX($B$7,0),(((TANH(($A33-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3" s="8" t="str">
        <f aca="false">IF($A33="","",IF($B$5=0,($B$9+(1-$B$9)*MIN($A33,$B$4)/$B$4),IF($A33&gt;=$B$4,MAX($B$7,0),(((TANH(($A33-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3" s="8" t="str">
        <f aca="false">IF($A33="","",IF($B$5=0,($B$10+(1-$B$10)*MIN($A33,$B$4)/$B$4),IF($A33&gt;=$B$4,MAX($B$7,0),(((TANH(($A33-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4" customFormat="false" ht="15" hidden="false" customHeight="false" outlineLevel="0" collapsed="false">
      <c r="A34" s="4" t="str">
        <f aca="false">IF(A33="","",IF(A33&lt;$B$4,A33+1,""))</f>
        <v/>
      </c>
      <c r="B34" s="8" t="str">
        <f aca="false">IF($A34="","",IF($B$5=0,($B$8+(1-$B$8)*MIN($A34,$B$4)/$B$4),IF($A34&gt;=$B$4,MAX($B$7,0),(((TANH(($A34-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4" s="8" t="str">
        <f aca="false">IF($A34="","",IF($B$5=0,($B$9+(1-$B$9)*MIN($A34,$B$4)/$B$4),IF($A34&gt;=$B$4,MAX($B$7,0),(((TANH(($A34-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4" s="8" t="str">
        <f aca="false">IF($A34="","",IF($B$5=0,($B$10+(1-$B$10)*MIN($A34,$B$4)/$B$4),IF($A34&gt;=$B$4,MAX($B$7,0),(((TANH(($A34-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4" s="8" t="str">
        <f aca="false">IF($A34="","",IF($B$5=0,($B$8+(1-$B$8)*MIN($A34,$B$4)/$B$4),IF($A34&gt;=$B$4,MAX($B$7,0),(((TANH(($A34-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4" s="8" t="str">
        <f aca="false">IF($A34="","",IF($B$5=0,($B$9+(1-$B$9)*MIN($A34,$B$4)/$B$4),IF($A34&gt;=$B$4,MAX($B$7,0),(((TANH(($A34-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4" s="8" t="str">
        <f aca="false">IF($A34="","",IF($B$5=0,($B$10+(1-$B$10)*MIN($A34,$B$4)/$B$4),IF($A34&gt;=$B$4,MAX($B$7,0),(((TANH(($A34-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5" customFormat="false" ht="15" hidden="false" customHeight="false" outlineLevel="0" collapsed="false">
      <c r="A35" s="4" t="str">
        <f aca="false">IF(A34="","",IF(A34&lt;$B$4,A34+1,""))</f>
        <v/>
      </c>
      <c r="B35" s="8" t="str">
        <f aca="false">IF($A35="","",IF($B$5=0,($B$8+(1-$B$8)*MIN($A35,$B$4)/$B$4),IF($A35&gt;=$B$4,MAX($B$7,0),(((TANH(($A35-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5" s="8" t="str">
        <f aca="false">IF($A35="","",IF($B$5=0,($B$9+(1-$B$9)*MIN($A35,$B$4)/$B$4),IF($A35&gt;=$B$4,MAX($B$7,0),(((TANH(($A35-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5" s="8" t="str">
        <f aca="false">IF($A35="","",IF($B$5=0,($B$10+(1-$B$10)*MIN($A35,$B$4)/$B$4),IF($A35&gt;=$B$4,MAX($B$7,0),(((TANH(($A35-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5" s="8" t="str">
        <f aca="false">IF($A35="","",IF($B$5=0,($B$8+(1-$B$8)*MIN($A35,$B$4)/$B$4),IF($A35&gt;=$B$4,MAX($B$7,0),(((TANH(($A35-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5" s="8" t="str">
        <f aca="false">IF($A35="","",IF($B$5=0,($B$9+(1-$B$9)*MIN($A35,$B$4)/$B$4),IF($A35&gt;=$B$4,MAX($B$7,0),(((TANH(($A35-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5" s="8" t="str">
        <f aca="false">IF($A35="","",IF($B$5=0,($B$10+(1-$B$10)*MIN($A35,$B$4)/$B$4),IF($A35&gt;=$B$4,MAX($B$7,0),(((TANH(($A35-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6" customFormat="false" ht="15" hidden="false" customHeight="false" outlineLevel="0" collapsed="false">
      <c r="A36" s="4" t="str">
        <f aca="false">IF(A35="","",IF(A35&lt;$B$4,A35+1,""))</f>
        <v/>
      </c>
      <c r="B36" s="8" t="str">
        <f aca="false">IF($A36="","",IF($B$5=0,($B$8+(1-$B$8)*MIN($A36,$B$4)/$B$4),IF($A36&gt;=$B$4,MAX($B$7,0),(((TANH(($A36-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6" s="8" t="str">
        <f aca="false">IF($A36="","",IF($B$5=0,($B$9+(1-$B$9)*MIN($A36,$B$4)/$B$4),IF($A36&gt;=$B$4,MAX($B$7,0),(((TANH(($A36-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6" s="8" t="str">
        <f aca="false">IF($A36="","",IF($B$5=0,($B$10+(1-$B$10)*MIN($A36,$B$4)/$B$4),IF($A36&gt;=$B$4,MAX($B$7,0),(((TANH(($A36-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6" s="8" t="str">
        <f aca="false">IF($A36="","",IF($B$5=0,($B$8+(1-$B$8)*MIN($A36,$B$4)/$B$4),IF($A36&gt;=$B$4,MAX($B$7,0),(((TANH(($A36-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6" s="8" t="str">
        <f aca="false">IF($A36="","",IF($B$5=0,($B$9+(1-$B$9)*MIN($A36,$B$4)/$B$4),IF($A36&gt;=$B$4,MAX($B$7,0),(((TANH(($A36-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6" s="8" t="str">
        <f aca="false">IF($A36="","",IF($B$5=0,($B$10+(1-$B$10)*MIN($A36,$B$4)/$B$4),IF($A36&gt;=$B$4,MAX($B$7,0),(((TANH(($A36-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7" customFormat="false" ht="15" hidden="false" customHeight="false" outlineLevel="0" collapsed="false">
      <c r="A37" s="4" t="str">
        <f aca="false">IF(A36="","",IF(A36&lt;$B$4,A36+1,""))</f>
        <v/>
      </c>
      <c r="B37" s="8" t="str">
        <f aca="false">IF($A37="","",IF($B$5=0,($B$8+(1-$B$8)*MIN($A37,$B$4)/$B$4),IF($A37&gt;=$B$4,MAX($B$7,0),(((TANH(($A37-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7" s="8" t="str">
        <f aca="false">IF($A37="","",IF($B$5=0,($B$9+(1-$B$9)*MIN($A37,$B$4)/$B$4),IF($A37&gt;=$B$4,MAX($B$7,0),(((TANH(($A37-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7" s="8" t="str">
        <f aca="false">IF($A37="","",IF($B$5=0,($B$10+(1-$B$10)*MIN($A37,$B$4)/$B$4),IF($A37&gt;=$B$4,MAX($B$7,0),(((TANH(($A37-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7" s="8" t="str">
        <f aca="false">IF($A37="","",IF($B$5=0,($B$8+(1-$B$8)*MIN($A37,$B$4)/$B$4),IF($A37&gt;=$B$4,MAX($B$7,0),(((TANH(($A37-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7" s="8" t="str">
        <f aca="false">IF($A37="","",IF($B$5=0,($B$9+(1-$B$9)*MIN($A37,$B$4)/$B$4),IF($A37&gt;=$B$4,MAX($B$7,0),(((TANH(($A37-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7" s="8" t="str">
        <f aca="false">IF($A37="","",IF($B$5=0,($B$10+(1-$B$10)*MIN($A37,$B$4)/$B$4),IF($A37&gt;=$B$4,MAX($B$7,0),(((TANH(($A37-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8" customFormat="false" ht="15" hidden="false" customHeight="false" outlineLevel="0" collapsed="false">
      <c r="A38" s="4" t="str">
        <f aca="false">IF(A37="","",IF(A37&lt;$B$4,A37+1,""))</f>
        <v/>
      </c>
      <c r="B38" s="8" t="str">
        <f aca="false">IF($A38="","",IF($B$5=0,($B$8+(1-$B$8)*MIN($A38,$B$4)/$B$4),IF($A38&gt;=$B$4,MAX($B$7,0),(((TANH(($A38-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8" s="8" t="str">
        <f aca="false">IF($A38="","",IF($B$5=0,($B$9+(1-$B$9)*MIN($A38,$B$4)/$B$4),IF($A38&gt;=$B$4,MAX($B$7,0),(((TANH(($A38-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8" s="8" t="str">
        <f aca="false">IF($A38="","",IF($B$5=0,($B$10+(1-$B$10)*MIN($A38,$B$4)/$B$4),IF($A38&gt;=$B$4,MAX($B$7,0),(((TANH(($A38-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8" s="8" t="str">
        <f aca="false">IF($A38="","",IF($B$5=0,($B$8+(1-$B$8)*MIN($A38,$B$4)/$B$4),IF($A38&gt;=$B$4,MAX($B$7,0),(((TANH(($A38-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8" s="8" t="str">
        <f aca="false">IF($A38="","",IF($B$5=0,($B$9+(1-$B$9)*MIN($A38,$B$4)/$B$4),IF($A38&gt;=$B$4,MAX($B$7,0),(((TANH(($A38-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8" s="8" t="str">
        <f aca="false">IF($A38="","",IF($B$5=0,($B$10+(1-$B$10)*MIN($A38,$B$4)/$B$4),IF($A38&gt;=$B$4,MAX($B$7,0),(((TANH(($A38-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39" customFormat="false" ht="15" hidden="false" customHeight="false" outlineLevel="0" collapsed="false">
      <c r="A39" s="4" t="str">
        <f aca="false">IF(A38="","",IF(A38&lt;$B$4,A38+1,""))</f>
        <v/>
      </c>
      <c r="B39" s="8" t="str">
        <f aca="false">IF($A39="","",IF($B$5=0,($B$8+(1-$B$8)*MIN($A39,$B$4)/$B$4),IF($A39&gt;=$B$4,MAX($B$7,0),(((TANH(($A39-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39" s="8" t="str">
        <f aca="false">IF($A39="","",IF($B$5=0,($B$9+(1-$B$9)*MIN($A39,$B$4)/$B$4),IF($A39&gt;=$B$4,MAX($B$7,0),(((TANH(($A39-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39" s="8" t="str">
        <f aca="false">IF($A39="","",IF($B$5=0,($B$10+(1-$B$10)*MIN($A39,$B$4)/$B$4),IF($A39&gt;=$B$4,MAX($B$7,0),(((TANH(($A39-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39" s="8" t="str">
        <f aca="false">IF($A39="","",IF($B$5=0,($B$8+(1-$B$8)*MIN($A39,$B$4)/$B$4),IF($A39&gt;=$B$4,MAX($B$7,0),(((TANH(($A39-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39" s="8" t="str">
        <f aca="false">IF($A39="","",IF($B$5=0,($B$9+(1-$B$9)*MIN($A39,$B$4)/$B$4),IF($A39&gt;=$B$4,MAX($B$7,0),(((TANH(($A39-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39" s="8" t="str">
        <f aca="false">IF($A39="","",IF($B$5=0,($B$10+(1-$B$10)*MIN($A39,$B$4)/$B$4),IF($A39&gt;=$B$4,MAX($B$7,0),(((TANH(($A39-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0" customFormat="false" ht="15" hidden="false" customHeight="false" outlineLevel="0" collapsed="false">
      <c r="A40" s="4" t="str">
        <f aca="false">IF(A39="","",IF(A39&lt;$B$4,A39+1,""))</f>
        <v/>
      </c>
      <c r="B40" s="8" t="str">
        <f aca="false">IF($A40="","",IF($B$5=0,($B$8+(1-$B$8)*MIN($A40,$B$4)/$B$4),IF($A40&gt;=$B$4,MAX($B$7,0),(((TANH(($A40-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0" s="8" t="str">
        <f aca="false">IF($A40="","",IF($B$5=0,($B$9+(1-$B$9)*MIN($A40,$B$4)/$B$4),IF($A40&gt;=$B$4,MAX($B$7,0),(((TANH(($A40-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0" s="8" t="str">
        <f aca="false">IF($A40="","",IF($B$5=0,($B$10+(1-$B$10)*MIN($A40,$B$4)/$B$4),IF($A40&gt;=$B$4,MAX($B$7,0),(((TANH(($A40-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0" s="8" t="str">
        <f aca="false">IF($A40="","",IF($B$5=0,($B$8+(1-$B$8)*MIN($A40,$B$4)/$B$4),IF($A40&gt;=$B$4,MAX($B$7,0),(((TANH(($A40-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0" s="8" t="str">
        <f aca="false">IF($A40="","",IF($B$5=0,($B$9+(1-$B$9)*MIN($A40,$B$4)/$B$4),IF($A40&gt;=$B$4,MAX($B$7,0),(((TANH(($A40-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0" s="8" t="str">
        <f aca="false">IF($A40="","",IF($B$5=0,($B$10+(1-$B$10)*MIN($A40,$B$4)/$B$4),IF($A40&gt;=$B$4,MAX($B$7,0),(((TANH(($A40-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1" customFormat="false" ht="15" hidden="false" customHeight="false" outlineLevel="0" collapsed="false">
      <c r="A41" s="4" t="str">
        <f aca="false">IF(A40="","",IF(A40&lt;$B$4,A40+1,""))</f>
        <v/>
      </c>
      <c r="B41" s="8" t="str">
        <f aca="false">IF($A41="","",IF($B$5=0,($B$8+(1-$B$8)*MIN($A41,$B$4)/$B$4),IF($A41&gt;=$B$4,MAX($B$7,0),(((TANH(($A41-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1" s="8" t="str">
        <f aca="false">IF($A41="","",IF($B$5=0,($B$9+(1-$B$9)*MIN($A41,$B$4)/$B$4),IF($A41&gt;=$B$4,MAX($B$7,0),(((TANH(($A41-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1" s="8" t="str">
        <f aca="false">IF($A41="","",IF($B$5=0,($B$10+(1-$B$10)*MIN($A41,$B$4)/$B$4),IF($A41&gt;=$B$4,MAX($B$7,0),(((TANH(($A41-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1" s="8" t="str">
        <f aca="false">IF($A41="","",IF($B$5=0,($B$8+(1-$B$8)*MIN($A41,$B$4)/$B$4),IF($A41&gt;=$B$4,MAX($B$7,0),(((TANH(($A41-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1" s="8" t="str">
        <f aca="false">IF($A41="","",IF($B$5=0,($B$9+(1-$B$9)*MIN($A41,$B$4)/$B$4),IF($A41&gt;=$B$4,MAX($B$7,0),(((TANH(($A41-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1" s="8" t="str">
        <f aca="false">IF($A41="","",IF($B$5=0,($B$10+(1-$B$10)*MIN($A41,$B$4)/$B$4),IF($A41&gt;=$B$4,MAX($B$7,0),(((TANH(($A41-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2" customFormat="false" ht="15" hidden="false" customHeight="false" outlineLevel="0" collapsed="false">
      <c r="A42" s="4" t="str">
        <f aca="false">IF(A41="","",IF(A41&lt;$B$4,A41+1,""))</f>
        <v/>
      </c>
      <c r="B42" s="8" t="str">
        <f aca="false">IF($A42="","",IF($B$5=0,($B$8+(1-$B$8)*MIN($A42,$B$4)/$B$4),IF($A42&gt;=$B$4,MAX($B$7,0),(((TANH(($A42-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2" s="8" t="str">
        <f aca="false">IF($A42="","",IF($B$5=0,($B$9+(1-$B$9)*MIN($A42,$B$4)/$B$4),IF($A42&gt;=$B$4,MAX($B$7,0),(((TANH(($A42-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2" s="8" t="str">
        <f aca="false">IF($A42="","",IF($B$5=0,($B$10+(1-$B$10)*MIN($A42,$B$4)/$B$4),IF($A42&gt;=$B$4,MAX($B$7,0),(((TANH(($A42-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2" s="8" t="str">
        <f aca="false">IF($A42="","",IF($B$5=0,($B$8+(1-$B$8)*MIN($A42,$B$4)/$B$4),IF($A42&gt;=$B$4,MAX($B$7,0),(((TANH(($A42-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2" s="8" t="str">
        <f aca="false">IF($A42="","",IF($B$5=0,($B$9+(1-$B$9)*MIN($A42,$B$4)/$B$4),IF($A42&gt;=$B$4,MAX($B$7,0),(((TANH(($A42-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2" s="8" t="str">
        <f aca="false">IF($A42="","",IF($B$5=0,($B$10+(1-$B$10)*MIN($A42,$B$4)/$B$4),IF($A42&gt;=$B$4,MAX($B$7,0),(((TANH(($A42-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3" customFormat="false" ht="15" hidden="false" customHeight="false" outlineLevel="0" collapsed="false">
      <c r="A43" s="4" t="str">
        <f aca="false">IF(A42="","",IF(A42&lt;$B$4,A42+1,""))</f>
        <v/>
      </c>
      <c r="B43" s="8" t="str">
        <f aca="false">IF($A43="","",IF($B$5=0,($B$8+(1-$B$8)*MIN($A43,$B$4)/$B$4),IF($A43&gt;=$B$4,MAX($B$7,0),(((TANH(($A43-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3" s="8" t="str">
        <f aca="false">IF($A43="","",IF($B$5=0,($B$9+(1-$B$9)*MIN($A43,$B$4)/$B$4),IF($A43&gt;=$B$4,MAX($B$7,0),(((TANH(($A43-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3" s="8" t="str">
        <f aca="false">IF($A43="","",IF($B$5=0,($B$10+(1-$B$10)*MIN($A43,$B$4)/$B$4),IF($A43&gt;=$B$4,MAX($B$7,0),(((TANH(($A43-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3" s="8" t="str">
        <f aca="false">IF($A43="","",IF($B$5=0,($B$8+(1-$B$8)*MIN($A43,$B$4)/$B$4),IF($A43&gt;=$B$4,MAX($B$7,0),(((TANH(($A43-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3" s="8" t="str">
        <f aca="false">IF($A43="","",IF($B$5=0,($B$9+(1-$B$9)*MIN($A43,$B$4)/$B$4),IF($A43&gt;=$B$4,MAX($B$7,0),(((TANH(($A43-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3" s="8" t="str">
        <f aca="false">IF($A43="","",IF($B$5=0,($B$10+(1-$B$10)*MIN($A43,$B$4)/$B$4),IF($A43&gt;=$B$4,MAX($B$7,0),(((TANH(($A43-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4" customFormat="false" ht="15" hidden="false" customHeight="false" outlineLevel="0" collapsed="false">
      <c r="A44" s="4" t="str">
        <f aca="false">IF(A43="","",IF(A43&lt;$B$4,A43+1,""))</f>
        <v/>
      </c>
      <c r="B44" s="8" t="str">
        <f aca="false">IF($A44="","",IF($B$5=0,($B$8+(1-$B$8)*MIN($A44,$B$4)/$B$4),IF($A44&gt;=$B$4,MAX($B$7,0),(((TANH(($A44-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4" s="8" t="str">
        <f aca="false">IF($A44="","",IF($B$5=0,($B$9+(1-$B$9)*MIN($A44,$B$4)/$B$4),IF($A44&gt;=$B$4,MAX($B$7,0),(((TANH(($A44-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4" s="8" t="str">
        <f aca="false">IF($A44="","",IF($B$5=0,($B$10+(1-$B$10)*MIN($A44,$B$4)/$B$4),IF($A44&gt;=$B$4,MAX($B$7,0),(((TANH(($A44-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4" s="8" t="str">
        <f aca="false">IF($A44="","",IF($B$5=0,($B$8+(1-$B$8)*MIN($A44,$B$4)/$B$4),IF($A44&gt;=$B$4,MAX($B$7,0),(((TANH(($A44-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4" s="8" t="str">
        <f aca="false">IF($A44="","",IF($B$5=0,($B$9+(1-$B$9)*MIN($A44,$B$4)/$B$4),IF($A44&gt;=$B$4,MAX($B$7,0),(((TANH(($A44-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4" s="8" t="str">
        <f aca="false">IF($A44="","",IF($B$5=0,($B$10+(1-$B$10)*MIN($A44,$B$4)/$B$4),IF($A44&gt;=$B$4,MAX($B$7,0),(((TANH(($A44-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5" customFormat="false" ht="15" hidden="false" customHeight="false" outlineLevel="0" collapsed="false">
      <c r="A45" s="4" t="str">
        <f aca="false">IF(A44="","",IF(A44&lt;$B$4,A44+1,""))</f>
        <v/>
      </c>
      <c r="B45" s="8" t="str">
        <f aca="false">IF($A45="","",IF($B$5=0,($B$8+(1-$B$8)*MIN($A45,$B$4)/$B$4),IF($A45&gt;=$B$4,MAX($B$7,0),(((TANH(($A45-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5" s="8" t="str">
        <f aca="false">IF($A45="","",IF($B$5=0,($B$9+(1-$B$9)*MIN($A45,$B$4)/$B$4),IF($A45&gt;=$B$4,MAX($B$7,0),(((TANH(($A45-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5" s="8" t="str">
        <f aca="false">IF($A45="","",IF($B$5=0,($B$10+(1-$B$10)*MIN($A45,$B$4)/$B$4),IF($A45&gt;=$B$4,MAX($B$7,0),(((TANH(($A45-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5" s="8" t="str">
        <f aca="false">IF($A45="","",IF($B$5=0,($B$8+(1-$B$8)*MIN($A45,$B$4)/$B$4),IF($A45&gt;=$B$4,MAX($B$7,0),(((TANH(($A45-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5" s="8" t="str">
        <f aca="false">IF($A45="","",IF($B$5=0,($B$9+(1-$B$9)*MIN($A45,$B$4)/$B$4),IF($A45&gt;=$B$4,MAX($B$7,0),(((TANH(($A45-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5" s="8" t="str">
        <f aca="false">IF($A45="","",IF($B$5=0,($B$10+(1-$B$10)*MIN($A45,$B$4)/$B$4),IF($A45&gt;=$B$4,MAX($B$7,0),(((TANH(($A45-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6" customFormat="false" ht="15" hidden="false" customHeight="false" outlineLevel="0" collapsed="false">
      <c r="A46" s="4" t="str">
        <f aca="false">IF(A45="","",IF(A45&lt;$B$4,A45+1,""))</f>
        <v/>
      </c>
      <c r="B46" s="8" t="str">
        <f aca="false">IF($A46="","",IF($B$5=0,($B$8+(1-$B$8)*MIN($A46,$B$4)/$B$4),IF($A46&gt;=$B$4,MAX($B$7,0),(((TANH(($A46-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6" s="8" t="str">
        <f aca="false">IF($A46="","",IF($B$5=0,($B$9+(1-$B$9)*MIN($A46,$B$4)/$B$4),IF($A46&gt;=$B$4,MAX($B$7,0),(((TANH(($A46-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6" s="8" t="str">
        <f aca="false">IF($A46="","",IF($B$5=0,($B$10+(1-$B$10)*MIN($A46,$B$4)/$B$4),IF($A46&gt;=$B$4,MAX($B$7,0),(((TANH(($A46-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6" s="8" t="str">
        <f aca="false">IF($A46="","",IF($B$5=0,($B$8+(1-$B$8)*MIN($A46,$B$4)/$B$4),IF($A46&gt;=$B$4,MAX($B$7,0),(((TANH(($A46-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6" s="8" t="str">
        <f aca="false">IF($A46="","",IF($B$5=0,($B$9+(1-$B$9)*MIN($A46,$B$4)/$B$4),IF($A46&gt;=$B$4,MAX($B$7,0),(((TANH(($A46-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6" s="8" t="str">
        <f aca="false">IF($A46="","",IF($B$5=0,($B$10+(1-$B$10)*MIN($A46,$B$4)/$B$4),IF($A46&gt;=$B$4,MAX($B$7,0),(((TANH(($A46-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7" customFormat="false" ht="15" hidden="false" customHeight="false" outlineLevel="0" collapsed="false">
      <c r="A47" s="4" t="str">
        <f aca="false">IF(A46="","",IF(A46&lt;$B$4,A46+1,""))</f>
        <v/>
      </c>
      <c r="B47" s="8" t="str">
        <f aca="false">IF($A47="","",IF($B$5=0,($B$8+(1-$B$8)*MIN($A47,$B$4)/$B$4),IF($A47&gt;=$B$4,MAX($B$7,0),(((TANH(($A47-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7" s="8" t="str">
        <f aca="false">IF($A47="","",IF($B$5=0,($B$9+(1-$B$9)*MIN($A47,$B$4)/$B$4),IF($A47&gt;=$B$4,MAX($B$7,0),(((TANH(($A47-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7" s="8" t="str">
        <f aca="false">IF($A47="","",IF($B$5=0,($B$10+(1-$B$10)*MIN($A47,$B$4)/$B$4),IF($A47&gt;=$B$4,MAX($B$7,0),(((TANH(($A47-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7" s="8" t="str">
        <f aca="false">IF($A47="","",IF($B$5=0,($B$8+(1-$B$8)*MIN($A47,$B$4)/$B$4),IF($A47&gt;=$B$4,MAX($B$7,0),(((TANH(($A47-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7" s="8" t="str">
        <f aca="false">IF($A47="","",IF($B$5=0,($B$9+(1-$B$9)*MIN($A47,$B$4)/$B$4),IF($A47&gt;=$B$4,MAX($B$7,0),(((TANH(($A47-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7" s="8" t="str">
        <f aca="false">IF($A47="","",IF($B$5=0,($B$10+(1-$B$10)*MIN($A47,$B$4)/$B$4),IF($A47&gt;=$B$4,MAX($B$7,0),(((TANH(($A47-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8" customFormat="false" ht="15" hidden="false" customHeight="false" outlineLevel="0" collapsed="false">
      <c r="A48" s="4" t="str">
        <f aca="false">IF(A47="","",IF(A47&lt;$B$4,A47+1,""))</f>
        <v/>
      </c>
      <c r="B48" s="8" t="str">
        <f aca="false">IF($A48="","",IF($B$5=0,($B$8+(1-$B$8)*MIN($A48,$B$4)/$B$4),IF($A48&gt;=$B$4,MAX($B$7,0),(((TANH(($A48-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8" s="8" t="str">
        <f aca="false">IF($A48="","",IF($B$5=0,($B$9+(1-$B$9)*MIN($A48,$B$4)/$B$4),IF($A48&gt;=$B$4,MAX($B$7,0),(((TANH(($A48-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8" s="8" t="str">
        <f aca="false">IF($A48="","",IF($B$5=0,($B$10+(1-$B$10)*MIN($A48,$B$4)/$B$4),IF($A48&gt;=$B$4,MAX($B$7,0),(((TANH(($A48-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8" s="8" t="str">
        <f aca="false">IF($A48="","",IF($B$5=0,($B$8+(1-$B$8)*MIN($A48,$B$4)/$B$4),IF($A48&gt;=$B$4,MAX($B$7,0),(((TANH(($A48-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8" s="8" t="str">
        <f aca="false">IF($A48="","",IF($B$5=0,($B$9+(1-$B$9)*MIN($A48,$B$4)/$B$4),IF($A48&gt;=$B$4,MAX($B$7,0),(((TANH(($A48-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8" s="8" t="str">
        <f aca="false">IF($A48="","",IF($B$5=0,($B$10+(1-$B$10)*MIN($A48,$B$4)/$B$4),IF($A48&gt;=$B$4,MAX($B$7,0),(((TANH(($A48-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49" customFormat="false" ht="15" hidden="false" customHeight="false" outlineLevel="0" collapsed="false">
      <c r="A49" s="4" t="str">
        <f aca="false">IF(A48="","",IF(A48&lt;$B$4,A48+1,""))</f>
        <v/>
      </c>
      <c r="B49" s="8" t="str">
        <f aca="false">IF($A49="","",IF($B$5=0,($B$8+(1-$B$8)*MIN($A49,$B$4)/$B$4),IF($A49&gt;=$B$4,MAX($B$7,0),(((TANH(($A49-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49" s="8" t="str">
        <f aca="false">IF($A49="","",IF($B$5=0,($B$9+(1-$B$9)*MIN($A49,$B$4)/$B$4),IF($A49&gt;=$B$4,MAX($B$7,0),(((TANH(($A49-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49" s="8" t="str">
        <f aca="false">IF($A49="","",IF($B$5=0,($B$10+(1-$B$10)*MIN($A49,$B$4)/$B$4),IF($A49&gt;=$B$4,MAX($B$7,0),(((TANH(($A49-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49" s="8" t="str">
        <f aca="false">IF($A49="","",IF($B$5=0,($B$8+(1-$B$8)*MIN($A49,$B$4)/$B$4),IF($A49&gt;=$B$4,MAX($B$7,0),(((TANH(($A49-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49" s="8" t="str">
        <f aca="false">IF($A49="","",IF($B$5=0,($B$9+(1-$B$9)*MIN($A49,$B$4)/$B$4),IF($A49&gt;=$B$4,MAX($B$7,0),(((TANH(($A49-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49" s="8" t="str">
        <f aca="false">IF($A49="","",IF($B$5=0,($B$10+(1-$B$10)*MIN($A49,$B$4)/$B$4),IF($A49&gt;=$B$4,MAX($B$7,0),(((TANH(($A49-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0" customFormat="false" ht="15" hidden="false" customHeight="false" outlineLevel="0" collapsed="false">
      <c r="A50" s="4" t="str">
        <f aca="false">IF(A49="","",IF(A49&lt;$B$4,A49+1,""))</f>
        <v/>
      </c>
      <c r="B50" s="8" t="str">
        <f aca="false">IF($A50="","",IF($B$5=0,($B$8+(1-$B$8)*MIN($A50,$B$4)/$B$4),IF($A50&gt;=$B$4,MAX($B$7,0),(((TANH(($A50-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0" s="8" t="str">
        <f aca="false">IF($A50="","",IF($B$5=0,($B$9+(1-$B$9)*MIN($A50,$B$4)/$B$4),IF($A50&gt;=$B$4,MAX($B$7,0),(((TANH(($A50-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0" s="8" t="str">
        <f aca="false">IF($A50="","",IF($B$5=0,($B$10+(1-$B$10)*MIN($A50,$B$4)/$B$4),IF($A50&gt;=$B$4,MAX($B$7,0),(((TANH(($A50-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0" s="8" t="str">
        <f aca="false">IF($A50="","",IF($B$5=0,($B$8+(1-$B$8)*MIN($A50,$B$4)/$B$4),IF($A50&gt;=$B$4,MAX($B$7,0),(((TANH(($A50-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0" s="8" t="str">
        <f aca="false">IF($A50="","",IF($B$5=0,($B$9+(1-$B$9)*MIN($A50,$B$4)/$B$4),IF($A50&gt;=$B$4,MAX($B$7,0),(((TANH(($A50-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0" s="8" t="str">
        <f aca="false">IF($A50="","",IF($B$5=0,($B$10+(1-$B$10)*MIN($A50,$B$4)/$B$4),IF($A50&gt;=$B$4,MAX($B$7,0),(((TANH(($A50-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1" customFormat="false" ht="15" hidden="false" customHeight="false" outlineLevel="0" collapsed="false">
      <c r="A51" s="4" t="str">
        <f aca="false">IF(A50="","",IF(A50&lt;$B$4,A50+1,""))</f>
        <v/>
      </c>
      <c r="B51" s="8" t="str">
        <f aca="false">IF($A51="","",IF($B$5=0,($B$8+(1-$B$8)*MIN($A51,$B$4)/$B$4),IF($A51&gt;=$B$4,MAX($B$7,0),(((TANH(($A51-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1" s="8" t="str">
        <f aca="false">IF($A51="","",IF($B$5=0,($B$9+(1-$B$9)*MIN($A51,$B$4)/$B$4),IF($A51&gt;=$B$4,MAX($B$7,0),(((TANH(($A51-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1" s="8" t="str">
        <f aca="false">IF($A51="","",IF($B$5=0,($B$10+(1-$B$10)*MIN($A51,$B$4)/$B$4),IF($A51&gt;=$B$4,MAX($B$7,0),(((TANH(($A51-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1" s="8" t="str">
        <f aca="false">IF($A51="","",IF($B$5=0,($B$8+(1-$B$8)*MIN($A51,$B$4)/$B$4),IF($A51&gt;=$B$4,MAX($B$7,0),(((TANH(($A51-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1" s="8" t="str">
        <f aca="false">IF($A51="","",IF($B$5=0,($B$9+(1-$B$9)*MIN($A51,$B$4)/$B$4),IF($A51&gt;=$B$4,MAX($B$7,0),(((TANH(($A51-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1" s="8" t="str">
        <f aca="false">IF($A51="","",IF($B$5=0,($B$10+(1-$B$10)*MIN($A51,$B$4)/$B$4),IF($A51&gt;=$B$4,MAX($B$7,0),(((TANH(($A51-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2" customFormat="false" ht="15" hidden="false" customHeight="false" outlineLevel="0" collapsed="false">
      <c r="A52" s="4" t="str">
        <f aca="false">IF(A51="","",IF(A51&lt;$B$4,A51+1,""))</f>
        <v/>
      </c>
      <c r="B52" s="8" t="str">
        <f aca="false">IF($A52="","",IF($B$5=0,($B$8+(1-$B$8)*MIN($A52,$B$4)/$B$4),IF($A52&gt;=$B$4,MAX($B$7,0),(((TANH(($A52-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2" s="8" t="str">
        <f aca="false">IF($A52="","",IF($B$5=0,($B$9+(1-$B$9)*MIN($A52,$B$4)/$B$4),IF($A52&gt;=$B$4,MAX($B$7,0),(((TANH(($A52-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2" s="8" t="str">
        <f aca="false">IF($A52="","",IF($B$5=0,($B$10+(1-$B$10)*MIN($A52,$B$4)/$B$4),IF($A52&gt;=$B$4,MAX($B$7,0),(((TANH(($A52-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2" s="8" t="str">
        <f aca="false">IF($A52="","",IF($B$5=0,($B$8+(1-$B$8)*MIN($A52,$B$4)/$B$4),IF($A52&gt;=$B$4,MAX($B$7,0),(((TANH(($A52-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2" s="8" t="str">
        <f aca="false">IF($A52="","",IF($B$5=0,($B$9+(1-$B$9)*MIN($A52,$B$4)/$B$4),IF($A52&gt;=$B$4,MAX($B$7,0),(((TANH(($A52-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2" s="8" t="str">
        <f aca="false">IF($A52="","",IF($B$5=0,($B$10+(1-$B$10)*MIN($A52,$B$4)/$B$4),IF($A52&gt;=$B$4,MAX($B$7,0),(((TANH(($A52-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3" customFormat="false" ht="15" hidden="false" customHeight="false" outlineLevel="0" collapsed="false">
      <c r="A53" s="4" t="str">
        <f aca="false">IF(A52="","",IF(A52&lt;$B$4,A52+1,""))</f>
        <v/>
      </c>
      <c r="B53" s="8" t="str">
        <f aca="false">IF($A53="","",IF($B$5=0,($B$8+(1-$B$8)*MIN($A53,$B$4)/$B$4),IF($A53&gt;=$B$4,MAX($B$7,0),(((TANH(($A53-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3" s="8" t="str">
        <f aca="false">IF($A53="","",IF($B$5=0,($B$9+(1-$B$9)*MIN($A53,$B$4)/$B$4),IF($A53&gt;=$B$4,MAX($B$7,0),(((TANH(($A53-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3" s="8" t="str">
        <f aca="false">IF($A53="","",IF($B$5=0,($B$10+(1-$B$10)*MIN($A53,$B$4)/$B$4),IF($A53&gt;=$B$4,MAX($B$7,0),(((TANH(($A53-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3" s="8" t="str">
        <f aca="false">IF($A53="","",IF($B$5=0,($B$8+(1-$B$8)*MIN($A53,$B$4)/$B$4),IF($A53&gt;=$B$4,MAX($B$7,0),(((TANH(($A53-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3" s="8" t="str">
        <f aca="false">IF($A53="","",IF($B$5=0,($B$9+(1-$B$9)*MIN($A53,$B$4)/$B$4),IF($A53&gt;=$B$4,MAX($B$7,0),(((TANH(($A53-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3" s="8" t="str">
        <f aca="false">IF($A53="","",IF($B$5=0,($B$10+(1-$B$10)*MIN($A53,$B$4)/$B$4),IF($A53&gt;=$B$4,MAX($B$7,0),(((TANH(($A53-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4" customFormat="false" ht="15" hidden="false" customHeight="false" outlineLevel="0" collapsed="false">
      <c r="A54" s="4" t="str">
        <f aca="false">IF(A53="","",IF(A53&lt;$B$4,A53+1,""))</f>
        <v/>
      </c>
      <c r="B54" s="8" t="str">
        <f aca="false">IF($A54="","",IF($B$5=0,($B$8+(1-$B$8)*MIN($A54,$B$4)/$B$4),IF($A54&gt;=$B$4,MAX($B$7,0),(((TANH(($A54-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4" s="8" t="str">
        <f aca="false">IF($A54="","",IF($B$5=0,($B$9+(1-$B$9)*MIN($A54,$B$4)/$B$4),IF($A54&gt;=$B$4,MAX($B$7,0),(((TANH(($A54-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4" s="8" t="str">
        <f aca="false">IF($A54="","",IF($B$5=0,($B$10+(1-$B$10)*MIN($A54,$B$4)/$B$4),IF($A54&gt;=$B$4,MAX($B$7,0),(((TANH(($A54-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4" s="8" t="str">
        <f aca="false">IF($A54="","",IF($B$5=0,($B$8+(1-$B$8)*MIN($A54,$B$4)/$B$4),IF($A54&gt;=$B$4,MAX($B$7,0),(((TANH(($A54-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4" s="8" t="str">
        <f aca="false">IF($A54="","",IF($B$5=0,($B$9+(1-$B$9)*MIN($A54,$B$4)/$B$4),IF($A54&gt;=$B$4,MAX($B$7,0),(((TANH(($A54-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4" s="8" t="str">
        <f aca="false">IF($A54="","",IF($B$5=0,($B$10+(1-$B$10)*MIN($A54,$B$4)/$B$4),IF($A54&gt;=$B$4,MAX($B$7,0),(((TANH(($A54-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5" customFormat="false" ht="15" hidden="false" customHeight="false" outlineLevel="0" collapsed="false">
      <c r="A55" s="4" t="str">
        <f aca="false">IF(A54="","",IF(A54&lt;$B$4,A54+1,""))</f>
        <v/>
      </c>
      <c r="B55" s="8" t="str">
        <f aca="false">IF($A55="","",IF($B$5=0,($B$8+(1-$B$8)*MIN($A55,$B$4)/$B$4),IF($A55&gt;=$B$4,MAX($B$7,0),(((TANH(($A55-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5" s="8" t="str">
        <f aca="false">IF($A55="","",IF($B$5=0,($B$9+(1-$B$9)*MIN($A55,$B$4)/$B$4),IF($A55&gt;=$B$4,MAX($B$7,0),(((TANH(($A55-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5" s="8" t="str">
        <f aca="false">IF($A55="","",IF($B$5=0,($B$10+(1-$B$10)*MIN($A55,$B$4)/$B$4),IF($A55&gt;=$B$4,MAX($B$7,0),(((TANH(($A55-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5" s="8" t="str">
        <f aca="false">IF($A55="","",IF($B$5=0,($B$8+(1-$B$8)*MIN($A55,$B$4)/$B$4),IF($A55&gt;=$B$4,MAX($B$7,0),(((TANH(($A55-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5" s="8" t="str">
        <f aca="false">IF($A55="","",IF($B$5=0,($B$9+(1-$B$9)*MIN($A55,$B$4)/$B$4),IF($A55&gt;=$B$4,MAX($B$7,0),(((TANH(($A55-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5" s="8" t="str">
        <f aca="false">IF($A55="","",IF($B$5=0,($B$10+(1-$B$10)*MIN($A55,$B$4)/$B$4),IF($A55&gt;=$B$4,MAX($B$7,0),(((TANH(($A55-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6" customFormat="false" ht="15" hidden="false" customHeight="false" outlineLevel="0" collapsed="false">
      <c r="A56" s="4" t="str">
        <f aca="false">IF(A55="","",IF(A55&lt;$B$4,A55+1,""))</f>
        <v/>
      </c>
      <c r="B56" s="8" t="str">
        <f aca="false">IF($A56="","",IF($B$5=0,($B$8+(1-$B$8)*MIN($A56,$B$4)/$B$4),IF($A56&gt;=$B$4,MAX($B$7,0),(((TANH(($A56-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6" s="8" t="str">
        <f aca="false">IF($A56="","",IF($B$5=0,($B$9+(1-$B$9)*MIN($A56,$B$4)/$B$4),IF($A56&gt;=$B$4,MAX($B$7,0),(((TANH(($A56-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6" s="8" t="str">
        <f aca="false">IF($A56="","",IF($B$5=0,($B$10+(1-$B$10)*MIN($A56,$B$4)/$B$4),IF($A56&gt;=$B$4,MAX($B$7,0),(((TANH(($A56-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6" s="8" t="str">
        <f aca="false">IF($A56="","",IF($B$5=0,($B$8+(1-$B$8)*MIN($A56,$B$4)/$B$4),IF($A56&gt;=$B$4,MAX($B$7,0),(((TANH(($A56-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6" s="8" t="str">
        <f aca="false">IF($A56="","",IF($B$5=0,($B$9+(1-$B$9)*MIN($A56,$B$4)/$B$4),IF($A56&gt;=$B$4,MAX($B$7,0),(((TANH(($A56-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6" s="8" t="str">
        <f aca="false">IF($A56="","",IF($B$5=0,($B$10+(1-$B$10)*MIN($A56,$B$4)/$B$4),IF($A56&gt;=$B$4,MAX($B$7,0),(((TANH(($A56-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7" customFormat="false" ht="15" hidden="false" customHeight="false" outlineLevel="0" collapsed="false">
      <c r="A57" s="4" t="str">
        <f aca="false">IF(A56="","",IF(A56&lt;$B$4,A56+1,""))</f>
        <v/>
      </c>
      <c r="B57" s="8" t="str">
        <f aca="false">IF($A57="","",IF($B$5=0,($B$8+(1-$B$8)*MIN($A57,$B$4)/$B$4),IF($A57&gt;=$B$4,MAX($B$7,0),(((TANH(($A57-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7" s="8" t="str">
        <f aca="false">IF($A57="","",IF($B$5=0,($B$9+(1-$B$9)*MIN($A57,$B$4)/$B$4),IF($A57&gt;=$B$4,MAX($B$7,0),(((TANH(($A57-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7" s="8" t="str">
        <f aca="false">IF($A57="","",IF($B$5=0,($B$10+(1-$B$10)*MIN($A57,$B$4)/$B$4),IF($A57&gt;=$B$4,MAX($B$7,0),(((TANH(($A57-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7" s="8" t="str">
        <f aca="false">IF($A57="","",IF($B$5=0,($B$8+(1-$B$8)*MIN($A57,$B$4)/$B$4),IF($A57&gt;=$B$4,MAX($B$7,0),(((TANH(($A57-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7" s="8" t="str">
        <f aca="false">IF($A57="","",IF($B$5=0,($B$9+(1-$B$9)*MIN($A57,$B$4)/$B$4),IF($A57&gt;=$B$4,MAX($B$7,0),(((TANH(($A57-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7" s="8" t="str">
        <f aca="false">IF($A57="","",IF($B$5=0,($B$10+(1-$B$10)*MIN($A57,$B$4)/$B$4),IF($A57&gt;=$B$4,MAX($B$7,0),(((TANH(($A57-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8" customFormat="false" ht="15" hidden="false" customHeight="false" outlineLevel="0" collapsed="false">
      <c r="A58" s="4" t="str">
        <f aca="false">IF(A57="","",IF(A57&lt;$B$4,A57+1,""))</f>
        <v/>
      </c>
      <c r="B58" s="8" t="str">
        <f aca="false">IF($A58="","",IF($B$5=0,($B$8+(1-$B$8)*MIN($A58,$B$4)/$B$4),IF($A58&gt;=$B$4,MAX($B$7,0),(((TANH(($A58-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8" s="8" t="str">
        <f aca="false">IF($A58="","",IF($B$5=0,($B$9+(1-$B$9)*MIN($A58,$B$4)/$B$4),IF($A58&gt;=$B$4,MAX($B$7,0),(((TANH(($A58-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8" s="8" t="str">
        <f aca="false">IF($A58="","",IF($B$5=0,($B$10+(1-$B$10)*MIN($A58,$B$4)/$B$4),IF($A58&gt;=$B$4,MAX($B$7,0),(((TANH(($A58-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8" s="8" t="str">
        <f aca="false">IF($A58="","",IF($B$5=0,($B$8+(1-$B$8)*MIN($A58,$B$4)/$B$4),IF($A58&gt;=$B$4,MAX($B$7,0),(((TANH(($A58-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8" s="8" t="str">
        <f aca="false">IF($A58="","",IF($B$5=0,($B$9+(1-$B$9)*MIN($A58,$B$4)/$B$4),IF($A58&gt;=$B$4,MAX($B$7,0),(((TANH(($A58-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8" s="8" t="str">
        <f aca="false">IF($A58="","",IF($B$5=0,($B$10+(1-$B$10)*MIN($A58,$B$4)/$B$4),IF($A58&gt;=$B$4,MAX($B$7,0),(((TANH(($A58-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59" customFormat="false" ht="15" hidden="false" customHeight="false" outlineLevel="0" collapsed="false">
      <c r="A59" s="4" t="str">
        <f aca="false">IF(A58="","",IF(A58&lt;$B$4,A58+1,""))</f>
        <v/>
      </c>
      <c r="B59" s="8" t="str">
        <f aca="false">IF($A59="","",IF($B$5=0,($B$8+(1-$B$8)*MIN($A59,$B$4)/$B$4),IF($A59&gt;=$B$4,MAX($B$7,0),(((TANH(($A59-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59" s="8" t="str">
        <f aca="false">IF($A59="","",IF($B$5=0,($B$9+(1-$B$9)*MIN($A59,$B$4)/$B$4),IF($A59&gt;=$B$4,MAX($B$7,0),(((TANH(($A59-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59" s="8" t="str">
        <f aca="false">IF($A59="","",IF($B$5=0,($B$10+(1-$B$10)*MIN($A59,$B$4)/$B$4),IF($A59&gt;=$B$4,MAX($B$7,0),(((TANH(($A59-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59" s="8" t="str">
        <f aca="false">IF($A59="","",IF($B$5=0,($B$8+(1-$B$8)*MIN($A59,$B$4)/$B$4),IF($A59&gt;=$B$4,MAX($B$7,0),(((TANH(($A59-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59" s="8" t="str">
        <f aca="false">IF($A59="","",IF($B$5=0,($B$9+(1-$B$9)*MIN($A59,$B$4)/$B$4),IF($A59&gt;=$B$4,MAX($B$7,0),(((TANH(($A59-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59" s="8" t="str">
        <f aca="false">IF($A59="","",IF($B$5=0,($B$10+(1-$B$10)*MIN($A59,$B$4)/$B$4),IF($A59&gt;=$B$4,MAX($B$7,0),(((TANH(($A59-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60" customFormat="false" ht="15" hidden="false" customHeight="false" outlineLevel="0" collapsed="false">
      <c r="A60" s="4" t="str">
        <f aca="false">IF(A59="","",IF(A59&lt;$B$4,A59+1,""))</f>
        <v/>
      </c>
      <c r="B60" s="8" t="str">
        <f aca="false">IF($A60="","",IF($B$5=0,($B$8+(1-$B$8)*MIN($A60,$B$4)/$B$4),IF($A60&gt;=$B$4,MAX($B$7,0),(((TANH(($A60-$B$4*$B$6)/($B$4/5*1.5))+1)/2)*(MAX($B$7,0)*IF((((TANH(($B$4-$B$4*$B$6)/($B$4/5*1.5))+1)/2)*(MAX($B$7,0)-MIN(MAX($B$8,0),MAX($B$7,0)))+MIN(MAX($B$8,0),MAX($B$7,0)))&gt;0,MAX($B$7,0)/(((TANH(($B$4-$B$4*$B$6)/($B$4/5*1.5))+1)/2)*(MAX($B$7,0)-MIN(MAX($B$8,0),MAX($B$7,0)))+MIN(MAX($B$8,0),MAX($B$7,0))),1)-MIN(MAX($B$8,0),MAX($B$7,0)))+MIN(MAX($B$8,0),MAX($B$7,0)))))*$B$13*$B$15)</f>
        <v/>
      </c>
      <c r="C60" s="8" t="str">
        <f aca="false">IF($A60="","",IF($B$5=0,($B$9+(1-$B$9)*MIN($A60,$B$4)/$B$4),IF($A60&gt;=$B$4,MAX($B$7,0),(((TANH(($A60-$B$4*$B$6)/($B$4/5*1.5))+1)/2)*(MAX($B$7,0)*IF((((TANH(($B$4-$B$4*$B$6)/($B$4/5*1.5))+1)/2)*(MAX($B$7,0)-MIN(MAX($B$9,0),MAX($B$7,0)))+MIN(MAX($B$9,0),MAX($B$7,0)))&gt;0,MAX($B$7,0)/(((TANH(($B$4-$B$4*$B$6)/($B$4/5*1.5))+1)/2)*(MAX($B$7,0)-MIN(MAX($B$9,0),MAX($B$7,0)))+MIN(MAX($B$9,0),MAX($B$7,0))),1)-MIN(MAX($B$9,0),MAX($B$7,0)))+MIN(MAX($B$9,0),MAX($B$7,0)))))*$B$14*$B$16)</f>
        <v/>
      </c>
      <c r="D60" s="8" t="str">
        <f aca="false">IF($A60="","",IF($B$5=0,($B$10+(1-$B$10)*MIN($A60,$B$4)/$B$4),IF($A60&gt;=$B$4,MAX($B$7,0),(((TANH(($A60-$B$4*$B$6)/($B$4/5*1.5))+1)/2)*(MAX($B$7,0)*IF((((TANH(($B$4-$B$4*$B$6)/($B$4/5*1.5))+1)/2)*(MAX($B$7,0)-MIN(MAX($B$10,0),MAX($B$7,0)))+MIN(MAX($B$10,0),MAX($B$7,0)))&gt;0,MAX($B$7,0)/(((TANH(($B$4-$B$4*$B$6)/($B$4/5*1.5))+1)/2)*(MAX($B$7,0)-MIN(MAX($B$10,0),MAX($B$7,0)))+MIN(MAX($B$10,0),MAX($B$7,0))),1)-MIN(MAX($B$10,0),MAX($B$7,0)))+MIN(MAX($B$10,0),MAX($B$7,0)))))*$B$17)</f>
        <v/>
      </c>
      <c r="E60" s="8" t="str">
        <f aca="false">IF($A60="","",IF($B$5=0,($B$8+(1-$B$8)*MIN($A60,$B$4)/$B$4),IF($A60&gt;=$B$4,MAX($B$7,0),(((TANH(($A60-$B$4*$B$6*$B$11)/($B$4/5*1.5))+1)/2)*(MAX($B$7,0)*IF((((TANH(($B$4-$B$4*$B$6*$B$11)/($B$4/5*1.5))+1)/2)*(MAX($B$7,0)-MIN(MAX($B$8,0),MAX($B$7,0)))+MIN(MAX($B$8,0),MAX($B$7,0)))&gt;0,MAX($B$7,0)/(((TANH(($B$4-$B$4*$B$6*$B$11)/($B$4/5*1.5))+1)/2)*(MAX($B$7,0)-MIN(MAX($B$8,0),MAX($B$7,0)))+MIN(MAX($B$8,0),MAX($B$7,0))),1)-MIN(MAX($B$8,0),MAX($B$7,0)))+MIN(MAX($B$8,0),MAX($B$7,0)))))*$B$13*$B$15*$B$12)</f>
        <v/>
      </c>
      <c r="F60" s="8" t="str">
        <f aca="false">IF($A60="","",IF($B$5=0,($B$9+(1-$B$9)*MIN($A60,$B$4)/$B$4),IF($A60&gt;=$B$4,MAX($B$7,0),(((TANH(($A60-$B$4*$B$6*$B$11)/($B$4/5*1.5))+1)/2)*(MAX($B$7,0)*IF((((TANH(($B$4-$B$4*$B$6*$B$11)/($B$4/5*1.5))+1)/2)*(MAX($B$7,0)-MIN(MAX($B$9,0),MAX($B$7,0)))+MIN(MAX($B$9,0),MAX($B$7,0)))&gt;0,MAX($B$7,0)/(((TANH(($B$4-$B$4*$B$6*$B$11)/($B$4/5*1.5))+1)/2)*(MAX($B$7,0)-MIN(MAX($B$9,0),MAX($B$7,0)))+MIN(MAX($B$9,0),MAX($B$7,0))),1)-MIN(MAX($B$9,0),MAX($B$7,0)))+MIN(MAX($B$9,0),MAX($B$7,0)))))*$B$14*$B$16*$B$12)</f>
        <v/>
      </c>
      <c r="G60" s="8" t="str">
        <f aca="false">IF($A60="","",IF($B$5=0,($B$10+(1-$B$10)*MIN($A60,$B$4)/$B$4),IF($A60&gt;=$B$4,MAX($B$7,0),(((TANH(($A60-$B$4*$B$6*$B$11)/($B$4/5*1.5))+1)/2)*(MAX($B$7,0)*IF((((TANH(($B$4-$B$4*$B$6*$B$11)/($B$4/5*1.5))+1)/2)*(MAX($B$7,0)-MIN(MAX($B$10,0),MAX($B$7,0)))+MIN(MAX($B$10,0),MAX($B$7,0)))&gt;0,MAX($B$7,0)/(((TANH(($B$4-$B$4*$B$6*$B$11)/($B$4/5*1.5))+1)/2)*(MAX($B$7,0)-MIN(MAX($B$10,0),MAX($B$7,0)))+MIN(MAX($B$10,0),MAX($B$7,0))),1)-MIN(MAX($B$10,0),MAX($B$7,0)))+MIN(MAX($B$10,0),MAX($B$7,0)))))*$B$17)</f>
        <v/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5" hidden="false" customHeight="false" outlineLevel="0" collapsed="false">
      <c r="A62" s="3" t="s">
        <v>38</v>
      </c>
      <c r="B62" s="2"/>
      <c r="C62" s="2"/>
      <c r="D62" s="2"/>
      <c r="E62" s="2"/>
      <c r="F62" s="2"/>
      <c r="G6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39</v>
      </c>
      <c r="B1" s="2"/>
      <c r="C1" s="2"/>
      <c r="D1" s="2"/>
    </row>
    <row r="2" customFormat="false" ht="15" hidden="false" customHeight="false" outlineLevel="0" collapsed="false">
      <c r="A2" s="3" t="s">
        <v>40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5" t="n">
        <v>5</v>
      </c>
      <c r="C4" s="3" t="s">
        <v>41</v>
      </c>
      <c r="D4" s="2"/>
    </row>
    <row r="5" customFormat="false" ht="15" hidden="false" customHeight="false" outlineLevel="0" collapsed="false">
      <c r="A5" s="4" t="s">
        <v>42</v>
      </c>
      <c r="B5" s="5" t="n">
        <v>100</v>
      </c>
      <c r="C5" s="3" t="s">
        <v>43</v>
      </c>
      <c r="D5" s="2"/>
    </row>
    <row r="6" customFormat="false" ht="15" hidden="false" customHeight="false" outlineLevel="0" collapsed="false">
      <c r="A6" s="4" t="s">
        <v>44</v>
      </c>
      <c r="B6" s="6" t="n">
        <v>1</v>
      </c>
      <c r="C6" s="3" t="s">
        <v>45</v>
      </c>
      <c r="D6" s="2"/>
    </row>
    <row r="7" customFormat="false" ht="15" hidden="false" customHeight="false" outlineLevel="0" collapsed="false">
      <c r="A7" s="4" t="s">
        <v>46</v>
      </c>
      <c r="B7" s="6" t="n">
        <v>1</v>
      </c>
      <c r="C7" s="3" t="s">
        <v>47</v>
      </c>
      <c r="D7" s="2"/>
    </row>
    <row r="8" customFormat="false" ht="15" hidden="false" customHeight="false" outlineLevel="0" collapsed="false">
      <c r="A8" s="4" t="s">
        <v>48</v>
      </c>
      <c r="B8" s="5" t="n">
        <v>300</v>
      </c>
      <c r="C8" s="3" t="s">
        <v>49</v>
      </c>
      <c r="D8" s="2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26.85" hidden="false" customHeight="false" outlineLevel="0" collapsed="false">
      <c r="A11" s="7" t="s">
        <v>50</v>
      </c>
      <c r="B11" s="7" t="s">
        <v>51</v>
      </c>
      <c r="C11" s="7" t="s">
        <v>52</v>
      </c>
      <c r="D11" s="7" t="s">
        <v>53</v>
      </c>
    </row>
    <row r="12" customFormat="false" ht="15" hidden="false" customHeight="false" outlineLevel="0" collapsed="false">
      <c r="A12" s="4" t="n">
        <v>1</v>
      </c>
      <c r="B12" s="9" t="n">
        <f aca="false">IF($A12="","",MAX($B$4/$A12-1,0))</f>
        <v>4</v>
      </c>
      <c r="C12" s="10" t="n">
        <f aca="false">IF($A12="","",MAX($B$4/$A12-1,0)*$B$5*$B$7/100)</f>
        <v>4</v>
      </c>
      <c r="D12" s="11" t="n">
        <f aca="false">IF($A12="","",ROUNDDOWN($B$8*$B$6*MAX($B$4/$A12-1,0)*$B$7,0))</f>
        <v>1200</v>
      </c>
    </row>
    <row r="13" customFormat="false" ht="15" hidden="false" customHeight="false" outlineLevel="0" collapsed="false">
      <c r="A13" s="4" t="n">
        <f aca="false">IF(A12="","",IF(A12&lt;$B$4,A12+1,""))</f>
        <v>2</v>
      </c>
      <c r="B13" s="9" t="n">
        <f aca="false">IF($A13="","",MAX($B$4/$A13-1,0))</f>
        <v>1.5</v>
      </c>
      <c r="C13" s="10" t="n">
        <f aca="false">IF($A13="","",MAX($B$4/$A13-1,0)*$B$5*$B$7/100)</f>
        <v>1.5</v>
      </c>
      <c r="D13" s="11" t="n">
        <f aca="false">IF($A13="","",ROUNDDOWN($B$8*$B$6*MAX($B$4/$A13-1,0)*$B$7,0))</f>
        <v>450</v>
      </c>
    </row>
    <row r="14" customFormat="false" ht="15" hidden="false" customHeight="false" outlineLevel="0" collapsed="false">
      <c r="A14" s="4" t="n">
        <f aca="false">IF(A13="","",IF(A13&lt;$B$4,A13+1,""))</f>
        <v>3</v>
      </c>
      <c r="B14" s="9" t="n">
        <f aca="false">IF($A14="","",MAX($B$4/$A14-1,0))</f>
        <v>0.666666666666667</v>
      </c>
      <c r="C14" s="10" t="n">
        <f aca="false">IF($A14="","",MAX($B$4/$A14-1,0)*$B$5*$B$7/100)</f>
        <v>0.666666666666667</v>
      </c>
      <c r="D14" s="11" t="n">
        <f aca="false">IF($A14="","",ROUNDDOWN($B$8*$B$6*MAX($B$4/$A14-1,0)*$B$7,0))</f>
        <v>200</v>
      </c>
    </row>
    <row r="15" customFormat="false" ht="15" hidden="false" customHeight="false" outlineLevel="0" collapsed="false">
      <c r="A15" s="4" t="n">
        <f aca="false">IF(A14="","",IF(A14&lt;$B$4,A14+1,""))</f>
        <v>4</v>
      </c>
      <c r="B15" s="9" t="n">
        <f aca="false">IF($A15="","",MAX($B$4/$A15-1,0))</f>
        <v>0.25</v>
      </c>
      <c r="C15" s="10" t="n">
        <f aca="false">IF($A15="","",MAX($B$4/$A15-1,0)*$B$5*$B$7/100)</f>
        <v>0.25</v>
      </c>
      <c r="D15" s="11" t="n">
        <f aca="false">IF($A15="","",ROUNDDOWN($B$8*$B$6*MAX($B$4/$A15-1,0)*$B$7,0))</f>
        <v>75</v>
      </c>
    </row>
    <row r="16" customFormat="false" ht="15" hidden="false" customHeight="false" outlineLevel="0" collapsed="false">
      <c r="A16" s="4" t="n">
        <f aca="false">IF(A15="","",IF(A15&lt;$B$4,A15+1,""))</f>
        <v>5</v>
      </c>
      <c r="B16" s="9" t="n">
        <f aca="false">IF($A16="","",MAX($B$4/$A16-1,0))</f>
        <v>0</v>
      </c>
      <c r="C16" s="10" t="n">
        <f aca="false">IF($A16="","",MAX($B$4/$A16-1,0)*$B$5*$B$7/100)</f>
        <v>0</v>
      </c>
      <c r="D16" s="11" t="n">
        <f aca="false">IF($A16="","",ROUNDDOWN($B$8*$B$6*MAX($B$4/$A16-1,0)*$B$7,0))</f>
        <v>0</v>
      </c>
    </row>
    <row r="17" customFormat="false" ht="15" hidden="false" customHeight="false" outlineLevel="0" collapsed="false">
      <c r="A17" s="4" t="str">
        <f aca="false">IF(A16="","",IF(A16&lt;$B$4,A16+1,""))</f>
        <v/>
      </c>
      <c r="B17" s="9" t="str">
        <f aca="false">IF($A17="","",MAX($B$4/$A17-1,0))</f>
        <v/>
      </c>
      <c r="C17" s="10" t="str">
        <f aca="false">IF($A17="","",MAX($B$4/$A17-1,0)*$B$5*$B$7/100)</f>
        <v/>
      </c>
      <c r="D17" s="11" t="str">
        <f aca="false">IF($A17="","",ROUNDDOWN($B$8*$B$6*MAX($B$4/$A17-1,0)*$B$7,0))</f>
        <v/>
      </c>
    </row>
    <row r="18" customFormat="false" ht="15" hidden="false" customHeight="false" outlineLevel="0" collapsed="false">
      <c r="A18" s="4" t="str">
        <f aca="false">IF(A17="","",IF(A17&lt;$B$4,A17+1,""))</f>
        <v/>
      </c>
      <c r="B18" s="9" t="str">
        <f aca="false">IF($A18="","",MAX($B$4/$A18-1,0))</f>
        <v/>
      </c>
      <c r="C18" s="10" t="str">
        <f aca="false">IF($A18="","",MAX($B$4/$A18-1,0)*$B$5*$B$7/100)</f>
        <v/>
      </c>
      <c r="D18" s="11" t="str">
        <f aca="false">IF($A18="","",ROUNDDOWN($B$8*$B$6*MAX($B$4/$A18-1,0)*$B$7,0))</f>
        <v/>
      </c>
    </row>
    <row r="19" customFormat="false" ht="15" hidden="false" customHeight="false" outlineLevel="0" collapsed="false">
      <c r="A19" s="4" t="str">
        <f aca="false">IF(A18="","",IF(A18&lt;$B$4,A18+1,""))</f>
        <v/>
      </c>
      <c r="B19" s="9" t="str">
        <f aca="false">IF($A19="","",MAX($B$4/$A19-1,0))</f>
        <v/>
      </c>
      <c r="C19" s="10" t="str">
        <f aca="false">IF($A19="","",MAX($B$4/$A19-1,0)*$B$5*$B$7/100)</f>
        <v/>
      </c>
      <c r="D19" s="11" t="str">
        <f aca="false">IF($A19="","",ROUNDDOWN($B$8*$B$6*MAX($B$4/$A19-1,0)*$B$7,0))</f>
        <v/>
      </c>
    </row>
    <row r="20" customFormat="false" ht="15" hidden="false" customHeight="false" outlineLevel="0" collapsed="false">
      <c r="A20" s="4" t="str">
        <f aca="false">IF(A19="","",IF(A19&lt;$B$4,A19+1,""))</f>
        <v/>
      </c>
      <c r="B20" s="9" t="str">
        <f aca="false">IF($A20="","",MAX($B$4/$A20-1,0))</f>
        <v/>
      </c>
      <c r="C20" s="10" t="str">
        <f aca="false">IF($A20="","",MAX($B$4/$A20-1,0)*$B$5*$B$7/100)</f>
        <v/>
      </c>
      <c r="D20" s="11" t="str">
        <f aca="false">IF($A20="","",ROUNDDOWN($B$8*$B$6*MAX($B$4/$A20-1,0)*$B$7,0))</f>
        <v/>
      </c>
    </row>
    <row r="21" customFormat="false" ht="15" hidden="false" customHeight="false" outlineLevel="0" collapsed="false">
      <c r="A21" s="4" t="str">
        <f aca="false">IF(A20="","",IF(A20&lt;$B$4,A20+1,""))</f>
        <v/>
      </c>
      <c r="B21" s="9" t="str">
        <f aca="false">IF($A21="","",MAX($B$4/$A21-1,0))</f>
        <v/>
      </c>
      <c r="C21" s="10" t="str">
        <f aca="false">IF($A21="","",MAX($B$4/$A21-1,0)*$B$5*$B$7/100)</f>
        <v/>
      </c>
      <c r="D21" s="11" t="str">
        <f aca="false">IF($A21="","",ROUNDDOWN($B$8*$B$6*MAX($B$4/$A21-1,0)*$B$7,0))</f>
        <v/>
      </c>
    </row>
    <row r="22" customFormat="false" ht="15" hidden="false" customHeight="false" outlineLevel="0" collapsed="false">
      <c r="A22" s="4" t="str">
        <f aca="false">IF(A21="","",IF(A21&lt;$B$4,A21+1,""))</f>
        <v/>
      </c>
      <c r="B22" s="9" t="str">
        <f aca="false">IF($A22="","",MAX($B$4/$A22-1,0))</f>
        <v/>
      </c>
      <c r="C22" s="10" t="str">
        <f aca="false">IF($A22="","",MAX($B$4/$A22-1,0)*$B$5*$B$7/100)</f>
        <v/>
      </c>
      <c r="D22" s="11" t="str">
        <f aca="false">IF($A22="","",ROUNDDOWN($B$8*$B$6*MAX($B$4/$A22-1,0)*$B$7,0))</f>
        <v/>
      </c>
    </row>
    <row r="23" customFormat="false" ht="15" hidden="false" customHeight="false" outlineLevel="0" collapsed="false">
      <c r="A23" s="4" t="str">
        <f aca="false">IF(A22="","",IF(A22&lt;$B$4,A22+1,""))</f>
        <v/>
      </c>
      <c r="B23" s="9" t="str">
        <f aca="false">IF($A23="","",MAX($B$4/$A23-1,0))</f>
        <v/>
      </c>
      <c r="C23" s="10" t="str">
        <f aca="false">IF($A23="","",MAX($B$4/$A23-1,0)*$B$5*$B$7/100)</f>
        <v/>
      </c>
      <c r="D23" s="11" t="str">
        <f aca="false">IF($A23="","",ROUNDDOWN($B$8*$B$6*MAX($B$4/$A23-1,0)*$B$7,0))</f>
        <v/>
      </c>
    </row>
    <row r="24" customFormat="false" ht="15" hidden="false" customHeight="false" outlineLevel="0" collapsed="false">
      <c r="A24" s="4" t="str">
        <f aca="false">IF(A23="","",IF(A23&lt;$B$4,A23+1,""))</f>
        <v/>
      </c>
      <c r="B24" s="9" t="str">
        <f aca="false">IF($A24="","",MAX($B$4/$A24-1,0))</f>
        <v/>
      </c>
      <c r="C24" s="10" t="str">
        <f aca="false">IF($A24="","",MAX($B$4/$A24-1,0)*$B$5*$B$7/100)</f>
        <v/>
      </c>
      <c r="D24" s="11" t="str">
        <f aca="false">IF($A24="","",ROUNDDOWN($B$8*$B$6*MAX($B$4/$A24-1,0)*$B$7,0))</f>
        <v/>
      </c>
    </row>
    <row r="25" customFormat="false" ht="15" hidden="false" customHeight="false" outlineLevel="0" collapsed="false">
      <c r="A25" s="4" t="str">
        <f aca="false">IF(A24="","",IF(A24&lt;$B$4,A24+1,""))</f>
        <v/>
      </c>
      <c r="B25" s="9" t="str">
        <f aca="false">IF($A25="","",MAX($B$4/$A25-1,0))</f>
        <v/>
      </c>
      <c r="C25" s="10" t="str">
        <f aca="false">IF($A25="","",MAX($B$4/$A25-1,0)*$B$5*$B$7/100)</f>
        <v/>
      </c>
      <c r="D25" s="11" t="str">
        <f aca="false">IF($A25="","",ROUNDDOWN($B$8*$B$6*MAX($B$4/$A25-1,0)*$B$7,0))</f>
        <v/>
      </c>
    </row>
    <row r="26" customFormat="false" ht="15" hidden="false" customHeight="false" outlineLevel="0" collapsed="false">
      <c r="A26" s="4" t="str">
        <f aca="false">IF(A25="","",IF(A25&lt;$B$4,A25+1,""))</f>
        <v/>
      </c>
      <c r="B26" s="9" t="str">
        <f aca="false">IF($A26="","",MAX($B$4/$A26-1,0))</f>
        <v/>
      </c>
      <c r="C26" s="10" t="str">
        <f aca="false">IF($A26="","",MAX($B$4/$A26-1,0)*$B$5*$B$7/100)</f>
        <v/>
      </c>
      <c r="D26" s="11" t="str">
        <f aca="false">IF($A26="","",ROUNDDOWN($B$8*$B$6*MAX($B$4/$A26-1,0)*$B$7,0))</f>
        <v/>
      </c>
    </row>
    <row r="27" customFormat="false" ht="15" hidden="false" customHeight="false" outlineLevel="0" collapsed="false">
      <c r="A27" s="4" t="str">
        <f aca="false">IF(A26="","",IF(A26&lt;$B$4,A26+1,""))</f>
        <v/>
      </c>
      <c r="B27" s="9" t="str">
        <f aca="false">IF($A27="","",MAX($B$4/$A27-1,0))</f>
        <v/>
      </c>
      <c r="C27" s="10" t="str">
        <f aca="false">IF($A27="","",MAX($B$4/$A27-1,0)*$B$5*$B$7/100)</f>
        <v/>
      </c>
      <c r="D27" s="11" t="str">
        <f aca="false">IF($A27="","",ROUNDDOWN($B$8*$B$6*MAX($B$4/$A27-1,0)*$B$7,0))</f>
        <v/>
      </c>
    </row>
    <row r="28" customFormat="false" ht="15" hidden="false" customHeight="false" outlineLevel="0" collapsed="false">
      <c r="A28" s="4" t="str">
        <f aca="false">IF(A27="","",IF(A27&lt;$B$4,A27+1,""))</f>
        <v/>
      </c>
      <c r="B28" s="9" t="str">
        <f aca="false">IF($A28="","",MAX($B$4/$A28-1,0))</f>
        <v/>
      </c>
      <c r="C28" s="10" t="str">
        <f aca="false">IF($A28="","",MAX($B$4/$A28-1,0)*$B$5*$B$7/100)</f>
        <v/>
      </c>
      <c r="D28" s="11" t="str">
        <f aca="false">IF($A28="","",ROUNDDOWN($B$8*$B$6*MAX($B$4/$A28-1,0)*$B$7,0))</f>
        <v/>
      </c>
    </row>
    <row r="29" customFormat="false" ht="15" hidden="false" customHeight="false" outlineLevel="0" collapsed="false">
      <c r="A29" s="4" t="str">
        <f aca="false">IF(A28="","",IF(A28&lt;$B$4,A28+1,""))</f>
        <v/>
      </c>
      <c r="B29" s="9" t="str">
        <f aca="false">IF($A29="","",MAX($B$4/$A29-1,0))</f>
        <v/>
      </c>
      <c r="C29" s="10" t="str">
        <f aca="false">IF($A29="","",MAX($B$4/$A29-1,0)*$B$5*$B$7/100)</f>
        <v/>
      </c>
      <c r="D29" s="11" t="str">
        <f aca="false">IF($A29="","",ROUNDDOWN($B$8*$B$6*MAX($B$4/$A29-1,0)*$B$7,0))</f>
        <v/>
      </c>
    </row>
    <row r="30" customFormat="false" ht="15" hidden="false" customHeight="false" outlineLevel="0" collapsed="false">
      <c r="A30" s="4" t="str">
        <f aca="false">IF(A29="","",IF(A29&lt;$B$4,A29+1,""))</f>
        <v/>
      </c>
      <c r="B30" s="9" t="str">
        <f aca="false">IF($A30="","",MAX($B$4/$A30-1,0))</f>
        <v/>
      </c>
      <c r="C30" s="10" t="str">
        <f aca="false">IF($A30="","",MAX($B$4/$A30-1,0)*$B$5*$B$7/100)</f>
        <v/>
      </c>
      <c r="D30" s="11" t="str">
        <f aca="false">IF($A30="","",ROUNDDOWN($B$8*$B$6*MAX($B$4/$A30-1,0)*$B$7,0))</f>
        <v/>
      </c>
    </row>
    <row r="31" customFormat="false" ht="15" hidden="false" customHeight="false" outlineLevel="0" collapsed="false">
      <c r="A31" s="4" t="str">
        <f aca="false">IF(A30="","",IF(A30&lt;$B$4,A30+1,""))</f>
        <v/>
      </c>
      <c r="B31" s="9" t="str">
        <f aca="false">IF($A31="","",MAX($B$4/$A31-1,0))</f>
        <v/>
      </c>
      <c r="C31" s="10" t="str">
        <f aca="false">IF($A31="","",MAX($B$4/$A31-1,0)*$B$5*$B$7/100)</f>
        <v/>
      </c>
      <c r="D31" s="11" t="str">
        <f aca="false">IF($A31="","",ROUNDDOWN($B$8*$B$6*MAX($B$4/$A31-1,0)*$B$7,0))</f>
        <v/>
      </c>
    </row>
    <row r="32" customFormat="false" ht="15" hidden="false" customHeight="false" outlineLevel="0" collapsed="false">
      <c r="A32" s="4" t="str">
        <f aca="false">IF(A31="","",IF(A31&lt;$B$4,A31+1,""))</f>
        <v/>
      </c>
      <c r="B32" s="9" t="str">
        <f aca="false">IF($A32="","",MAX($B$4/$A32-1,0))</f>
        <v/>
      </c>
      <c r="C32" s="10" t="str">
        <f aca="false">IF($A32="","",MAX($B$4/$A32-1,0)*$B$5*$B$7/100)</f>
        <v/>
      </c>
      <c r="D32" s="11" t="str">
        <f aca="false">IF($A32="","",ROUNDDOWN($B$8*$B$6*MAX($B$4/$A32-1,0)*$B$7,0))</f>
        <v/>
      </c>
    </row>
    <row r="33" customFormat="false" ht="15" hidden="false" customHeight="false" outlineLevel="0" collapsed="false">
      <c r="A33" s="4" t="str">
        <f aca="false">IF(A32="","",IF(A32&lt;$B$4,A32+1,""))</f>
        <v/>
      </c>
      <c r="B33" s="9" t="str">
        <f aca="false">IF($A33="","",MAX($B$4/$A33-1,0))</f>
        <v/>
      </c>
      <c r="C33" s="10" t="str">
        <f aca="false">IF($A33="","",MAX($B$4/$A33-1,0)*$B$5*$B$7/100)</f>
        <v/>
      </c>
      <c r="D33" s="11" t="str">
        <f aca="false">IF($A33="","",ROUNDDOWN($B$8*$B$6*MAX($B$4/$A33-1,0)*$B$7,0))</f>
        <v/>
      </c>
    </row>
    <row r="34" customFormat="false" ht="15" hidden="false" customHeight="false" outlineLevel="0" collapsed="false">
      <c r="A34" s="4" t="str">
        <f aca="false">IF(A33="","",IF(A33&lt;$B$4,A33+1,""))</f>
        <v/>
      </c>
      <c r="B34" s="9" t="str">
        <f aca="false">IF($A34="","",MAX($B$4/$A34-1,0))</f>
        <v/>
      </c>
      <c r="C34" s="10" t="str">
        <f aca="false">IF($A34="","",MAX($B$4/$A34-1,0)*$B$5*$B$7/100)</f>
        <v/>
      </c>
      <c r="D34" s="11" t="str">
        <f aca="false">IF($A34="","",ROUNDDOWN($B$8*$B$6*MAX($B$4/$A34-1,0)*$B$7,0))</f>
        <v/>
      </c>
    </row>
    <row r="35" customFormat="false" ht="15" hidden="false" customHeight="false" outlineLevel="0" collapsed="false">
      <c r="A35" s="4" t="str">
        <f aca="false">IF(A34="","",IF(A34&lt;$B$4,A34+1,""))</f>
        <v/>
      </c>
      <c r="B35" s="9" t="str">
        <f aca="false">IF($A35="","",MAX($B$4/$A35-1,0))</f>
        <v/>
      </c>
      <c r="C35" s="10" t="str">
        <f aca="false">IF($A35="","",MAX($B$4/$A35-1,0)*$B$5*$B$7/100)</f>
        <v/>
      </c>
      <c r="D35" s="11" t="str">
        <f aca="false">IF($A35="","",ROUNDDOWN($B$8*$B$6*MAX($B$4/$A35-1,0)*$B$7,0))</f>
        <v/>
      </c>
    </row>
    <row r="36" customFormat="false" ht="15" hidden="false" customHeight="false" outlineLevel="0" collapsed="false">
      <c r="A36" s="4" t="str">
        <f aca="false">IF(A35="","",IF(A35&lt;$B$4,A35+1,""))</f>
        <v/>
      </c>
      <c r="B36" s="9" t="str">
        <f aca="false">IF($A36="","",MAX($B$4/$A36-1,0))</f>
        <v/>
      </c>
      <c r="C36" s="10" t="str">
        <f aca="false">IF($A36="","",MAX($B$4/$A36-1,0)*$B$5*$B$7/100)</f>
        <v/>
      </c>
      <c r="D36" s="11" t="str">
        <f aca="false">IF($A36="","",ROUNDDOWN($B$8*$B$6*MAX($B$4/$A36-1,0)*$B$7,0))</f>
        <v/>
      </c>
    </row>
    <row r="37" customFormat="false" ht="15" hidden="false" customHeight="false" outlineLevel="0" collapsed="false">
      <c r="A37" s="4" t="str">
        <f aca="false">IF(A36="","",IF(A36&lt;$B$4,A36+1,""))</f>
        <v/>
      </c>
      <c r="B37" s="9" t="str">
        <f aca="false">IF($A37="","",MAX($B$4/$A37-1,0))</f>
        <v/>
      </c>
      <c r="C37" s="10" t="str">
        <f aca="false">IF($A37="","",MAX($B$4/$A37-1,0)*$B$5*$B$7/100)</f>
        <v/>
      </c>
      <c r="D37" s="11" t="str">
        <f aca="false">IF($A37="","",ROUNDDOWN($B$8*$B$6*MAX($B$4/$A37-1,0)*$B$7,0))</f>
        <v/>
      </c>
    </row>
    <row r="38" customFormat="false" ht="15" hidden="false" customHeight="false" outlineLevel="0" collapsed="false">
      <c r="A38" s="4" t="str">
        <f aca="false">IF(A37="","",IF(A37&lt;$B$4,A37+1,""))</f>
        <v/>
      </c>
      <c r="B38" s="9" t="str">
        <f aca="false">IF($A38="","",MAX($B$4/$A38-1,0))</f>
        <v/>
      </c>
      <c r="C38" s="10" t="str">
        <f aca="false">IF($A38="","",MAX($B$4/$A38-1,0)*$B$5*$B$7/100)</f>
        <v/>
      </c>
      <c r="D38" s="11" t="str">
        <f aca="false">IF($A38="","",ROUNDDOWN($B$8*$B$6*MAX($B$4/$A38-1,0)*$B$7,0))</f>
        <v/>
      </c>
    </row>
    <row r="39" customFormat="false" ht="15" hidden="false" customHeight="false" outlineLevel="0" collapsed="false">
      <c r="A39" s="4" t="str">
        <f aca="false">IF(A38="","",IF(A38&lt;$B$4,A38+1,""))</f>
        <v/>
      </c>
      <c r="B39" s="9" t="str">
        <f aca="false">IF($A39="","",MAX($B$4/$A39-1,0))</f>
        <v/>
      </c>
      <c r="C39" s="10" t="str">
        <f aca="false">IF($A39="","",MAX($B$4/$A39-1,0)*$B$5*$B$7/100)</f>
        <v/>
      </c>
      <c r="D39" s="11" t="str">
        <f aca="false">IF($A39="","",ROUNDDOWN($B$8*$B$6*MAX($B$4/$A39-1,0)*$B$7,0))</f>
        <v/>
      </c>
    </row>
    <row r="40" customFormat="false" ht="15" hidden="false" customHeight="false" outlineLevel="0" collapsed="false">
      <c r="A40" s="4" t="str">
        <f aca="false">IF(A39="","",IF(A39&lt;$B$4,A39+1,""))</f>
        <v/>
      </c>
      <c r="B40" s="9" t="str">
        <f aca="false">IF($A40="","",MAX($B$4/$A40-1,0))</f>
        <v/>
      </c>
      <c r="C40" s="10" t="str">
        <f aca="false">IF($A40="","",MAX($B$4/$A40-1,0)*$B$5*$B$7/100)</f>
        <v/>
      </c>
      <c r="D40" s="11" t="str">
        <f aca="false">IF($A40="","",ROUNDDOWN($B$8*$B$6*MAX($B$4/$A40-1,0)*$B$7,0))</f>
        <v/>
      </c>
    </row>
    <row r="41" customFormat="false" ht="15" hidden="false" customHeight="false" outlineLevel="0" collapsed="false">
      <c r="A41" s="4" t="str">
        <f aca="false">IF(A40="","",IF(A40&lt;$B$4,A40+1,""))</f>
        <v/>
      </c>
      <c r="B41" s="9" t="str">
        <f aca="false">IF($A41="","",MAX($B$4/$A41-1,0))</f>
        <v/>
      </c>
      <c r="C41" s="10" t="str">
        <f aca="false">IF($A41="","",MAX($B$4/$A41-1,0)*$B$5*$B$7/100)</f>
        <v/>
      </c>
      <c r="D41" s="11" t="str">
        <f aca="false">IF($A41="","",ROUNDDOWN($B$8*$B$6*MAX($B$4/$A41-1,0)*$B$7,0))</f>
        <v/>
      </c>
    </row>
    <row r="42" customFormat="false" ht="15" hidden="false" customHeight="false" outlineLevel="0" collapsed="false">
      <c r="A42" s="4" t="str">
        <f aca="false">IF(A41="","",IF(A41&lt;$B$4,A41+1,""))</f>
        <v/>
      </c>
      <c r="B42" s="9" t="str">
        <f aca="false">IF($A42="","",MAX($B$4/$A42-1,0))</f>
        <v/>
      </c>
      <c r="C42" s="10" t="str">
        <f aca="false">IF($A42="","",MAX($B$4/$A42-1,0)*$B$5*$B$7/100)</f>
        <v/>
      </c>
      <c r="D42" s="11" t="str">
        <f aca="false">IF($A42="","",ROUNDDOWN($B$8*$B$6*MAX($B$4/$A42-1,0)*$B$7,0))</f>
        <v/>
      </c>
    </row>
    <row r="43" customFormat="false" ht="15" hidden="false" customHeight="false" outlineLevel="0" collapsed="false">
      <c r="A43" s="4" t="str">
        <f aca="false">IF(A42="","",IF(A42&lt;$B$4,A42+1,""))</f>
        <v/>
      </c>
      <c r="B43" s="9" t="str">
        <f aca="false">IF($A43="","",MAX($B$4/$A43-1,0))</f>
        <v/>
      </c>
      <c r="C43" s="10" t="str">
        <f aca="false">IF($A43="","",MAX($B$4/$A43-1,0)*$B$5*$B$7/100)</f>
        <v/>
      </c>
      <c r="D43" s="11" t="str">
        <f aca="false">IF($A43="","",ROUNDDOWN($B$8*$B$6*MAX($B$4/$A43-1,0)*$B$7,0))</f>
        <v/>
      </c>
    </row>
    <row r="44" customFormat="false" ht="15" hidden="false" customHeight="false" outlineLevel="0" collapsed="false">
      <c r="A44" s="4" t="str">
        <f aca="false">IF(A43="","",IF(A43&lt;$B$4,A43+1,""))</f>
        <v/>
      </c>
      <c r="B44" s="9" t="str">
        <f aca="false">IF($A44="","",MAX($B$4/$A44-1,0))</f>
        <v/>
      </c>
      <c r="C44" s="10" t="str">
        <f aca="false">IF($A44="","",MAX($B$4/$A44-1,0)*$B$5*$B$7/100)</f>
        <v/>
      </c>
      <c r="D44" s="11" t="str">
        <f aca="false">IF($A44="","",ROUNDDOWN($B$8*$B$6*MAX($B$4/$A44-1,0)*$B$7,0))</f>
        <v/>
      </c>
    </row>
    <row r="45" customFormat="false" ht="15" hidden="false" customHeight="false" outlineLevel="0" collapsed="false">
      <c r="A45" s="4" t="str">
        <f aca="false">IF(A44="","",IF(A44&lt;$B$4,A44+1,""))</f>
        <v/>
      </c>
      <c r="B45" s="9" t="str">
        <f aca="false">IF($A45="","",MAX($B$4/$A45-1,0))</f>
        <v/>
      </c>
      <c r="C45" s="10" t="str">
        <f aca="false">IF($A45="","",MAX($B$4/$A45-1,0)*$B$5*$B$7/100)</f>
        <v/>
      </c>
      <c r="D45" s="11" t="str">
        <f aca="false">IF($A45="","",ROUNDDOWN($B$8*$B$6*MAX($B$4/$A45-1,0)*$B$7,0))</f>
        <v/>
      </c>
    </row>
    <row r="46" customFormat="false" ht="15" hidden="false" customHeight="false" outlineLevel="0" collapsed="false">
      <c r="A46" s="4" t="str">
        <f aca="false">IF(A45="","",IF(A45&lt;$B$4,A45+1,""))</f>
        <v/>
      </c>
      <c r="B46" s="9" t="str">
        <f aca="false">IF($A46="","",MAX($B$4/$A46-1,0))</f>
        <v/>
      </c>
      <c r="C46" s="10" t="str">
        <f aca="false">IF($A46="","",MAX($B$4/$A46-1,0)*$B$5*$B$7/100)</f>
        <v/>
      </c>
      <c r="D46" s="11" t="str">
        <f aca="false">IF($A46="","",ROUNDDOWN($B$8*$B$6*MAX($B$4/$A46-1,0)*$B$7,0))</f>
        <v/>
      </c>
    </row>
    <row r="47" customFormat="false" ht="15" hidden="false" customHeight="false" outlineLevel="0" collapsed="false">
      <c r="A47" s="4" t="str">
        <f aca="false">IF(A46="","",IF(A46&lt;$B$4,A46+1,""))</f>
        <v/>
      </c>
      <c r="B47" s="9" t="str">
        <f aca="false">IF($A47="","",MAX($B$4/$A47-1,0))</f>
        <v/>
      </c>
      <c r="C47" s="10" t="str">
        <f aca="false">IF($A47="","",MAX($B$4/$A47-1,0)*$B$5*$B$7/100)</f>
        <v/>
      </c>
      <c r="D47" s="11" t="str">
        <f aca="false">IF($A47="","",ROUNDDOWN($B$8*$B$6*MAX($B$4/$A47-1,0)*$B$7,0))</f>
        <v/>
      </c>
    </row>
    <row r="48" customFormat="false" ht="15" hidden="false" customHeight="false" outlineLevel="0" collapsed="false">
      <c r="A48" s="4" t="str">
        <f aca="false">IF(A47="","",IF(A47&lt;$B$4,A47+1,""))</f>
        <v/>
      </c>
      <c r="B48" s="9" t="str">
        <f aca="false">IF($A48="","",MAX($B$4/$A48-1,0))</f>
        <v/>
      </c>
      <c r="C48" s="10" t="str">
        <f aca="false">IF($A48="","",MAX($B$4/$A48-1,0)*$B$5*$B$7/100)</f>
        <v/>
      </c>
      <c r="D48" s="11" t="str">
        <f aca="false">IF($A48="","",ROUNDDOWN($B$8*$B$6*MAX($B$4/$A48-1,0)*$B$7,0))</f>
        <v/>
      </c>
    </row>
    <row r="49" customFormat="false" ht="15" hidden="false" customHeight="false" outlineLevel="0" collapsed="false">
      <c r="A49" s="4" t="str">
        <f aca="false">IF(A48="","",IF(A48&lt;$B$4,A48+1,""))</f>
        <v/>
      </c>
      <c r="B49" s="9" t="str">
        <f aca="false">IF($A49="","",MAX($B$4/$A49-1,0))</f>
        <v/>
      </c>
      <c r="C49" s="10" t="str">
        <f aca="false">IF($A49="","",MAX($B$4/$A49-1,0)*$B$5*$B$7/100)</f>
        <v/>
      </c>
      <c r="D49" s="11" t="str">
        <f aca="false">IF($A49="","",ROUNDDOWN($B$8*$B$6*MAX($B$4/$A49-1,0)*$B$7,0))</f>
        <v/>
      </c>
    </row>
    <row r="50" customFormat="false" ht="15" hidden="false" customHeight="false" outlineLevel="0" collapsed="false">
      <c r="A50" s="4" t="str">
        <f aca="false">IF(A49="","",IF(A49&lt;$B$4,A49+1,""))</f>
        <v/>
      </c>
      <c r="B50" s="9" t="str">
        <f aca="false">IF($A50="","",MAX($B$4/$A50-1,0))</f>
        <v/>
      </c>
      <c r="C50" s="10" t="str">
        <f aca="false">IF($A50="","",MAX($B$4/$A50-1,0)*$B$5*$B$7/100)</f>
        <v/>
      </c>
      <c r="D50" s="11" t="str">
        <f aca="false">IF($A50="","",ROUNDDOWN($B$8*$B$6*MAX($B$4/$A50-1,0)*$B$7,0))</f>
        <v/>
      </c>
    </row>
    <row r="51" customFormat="false" ht="15" hidden="false" customHeight="false" outlineLevel="0" collapsed="false">
      <c r="A51" s="4" t="str">
        <f aca="false">IF(A50="","",IF(A50&lt;$B$4,A50+1,""))</f>
        <v/>
      </c>
      <c r="B51" s="9" t="str">
        <f aca="false">IF($A51="","",MAX($B$4/$A51-1,0))</f>
        <v/>
      </c>
      <c r="C51" s="10" t="str">
        <f aca="false">IF($A51="","",MAX($B$4/$A51-1,0)*$B$5*$B$7/100)</f>
        <v/>
      </c>
      <c r="D51" s="11" t="str">
        <f aca="false">IF($A51="","",ROUNDDOWN($B$8*$B$6*MAX($B$4/$A51-1,0)*$B$7,0))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54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55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56</v>
      </c>
      <c r="B4" s="5" t="n">
        <v>30</v>
      </c>
      <c r="C4" s="3" t="s">
        <v>57</v>
      </c>
      <c r="D4" s="2"/>
      <c r="E4" s="2"/>
    </row>
    <row r="5" customFormat="false" ht="15" hidden="false" customHeight="false" outlineLevel="0" collapsed="false">
      <c r="A5" s="4" t="s">
        <v>58</v>
      </c>
      <c r="B5" s="5" t="n">
        <v>29</v>
      </c>
      <c r="C5" s="3" t="s">
        <v>59</v>
      </c>
      <c r="D5" s="2"/>
      <c r="E5" s="2"/>
    </row>
    <row r="6" customFormat="false" ht="15" hidden="false" customHeight="false" outlineLevel="0" collapsed="false">
      <c r="A6" s="4" t="s">
        <v>60</v>
      </c>
      <c r="B6" s="5" t="n">
        <v>25</v>
      </c>
      <c r="C6" s="3" t="s">
        <v>61</v>
      </c>
      <c r="D6" s="2"/>
      <c r="E6" s="2"/>
    </row>
    <row r="7" customFormat="false" ht="15" hidden="false" customHeight="false" outlineLevel="0" collapsed="false">
      <c r="A7" s="4" t="s">
        <v>62</v>
      </c>
      <c r="B7" s="5" t="n">
        <v>35</v>
      </c>
      <c r="C7" s="3" t="s">
        <v>63</v>
      </c>
      <c r="D7" s="2"/>
      <c r="E7" s="2"/>
    </row>
    <row r="8" customFormat="false" ht="15" hidden="false" customHeight="false" outlineLevel="0" collapsed="false">
      <c r="A8" s="4" t="s">
        <v>64</v>
      </c>
      <c r="B8" s="5" t="n">
        <v>3</v>
      </c>
      <c r="C8" s="3" t="s">
        <v>65</v>
      </c>
      <c r="D8" s="2"/>
      <c r="E8" s="2"/>
    </row>
    <row r="9" customFormat="false" ht="15" hidden="false" customHeight="false" outlineLevel="0" collapsed="false">
      <c r="A9" s="4" t="s">
        <v>66</v>
      </c>
      <c r="B9" s="5" t="n">
        <v>2</v>
      </c>
      <c r="C9" s="3" t="s">
        <v>67</v>
      </c>
      <c r="D9" s="2"/>
      <c r="E9" s="2"/>
    </row>
    <row r="10" customFormat="false" ht="15" hidden="false" customHeight="false" outlineLevel="0" collapsed="false">
      <c r="A10" s="4" t="s">
        <v>68</v>
      </c>
      <c r="B10" s="5" t="n">
        <v>1</v>
      </c>
      <c r="C10" s="3" t="s">
        <v>69</v>
      </c>
      <c r="D10" s="2"/>
      <c r="E10" s="2"/>
    </row>
    <row r="11" customFormat="false" ht="15" hidden="false" customHeight="false" outlineLevel="0" collapsed="false">
      <c r="A11" s="4" t="s">
        <v>70</v>
      </c>
      <c r="B11" s="5" t="n">
        <v>3</v>
      </c>
      <c r="C11" s="3" t="s">
        <v>71</v>
      </c>
      <c r="D11" s="2"/>
      <c r="E11" s="2"/>
    </row>
    <row r="12" customFormat="false" ht="15" hidden="false" customHeight="false" outlineLevel="0" collapsed="false">
      <c r="A12" s="4" t="s">
        <v>72</v>
      </c>
      <c r="B12" s="5" t="n">
        <v>3</v>
      </c>
      <c r="C12" s="3" t="s">
        <v>73</v>
      </c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26.85" hidden="false" customHeight="false" outlineLevel="0" collapsed="false">
      <c r="A15" s="7" t="s">
        <v>74</v>
      </c>
      <c r="B15" s="7" t="s">
        <v>75</v>
      </c>
      <c r="C15" s="7" t="s">
        <v>76</v>
      </c>
      <c r="D15" s="7" t="s">
        <v>77</v>
      </c>
      <c r="E15" s="7" t="s">
        <v>78</v>
      </c>
    </row>
    <row r="16" customFormat="false" ht="15" hidden="false" customHeight="false" outlineLevel="0" collapsed="false">
      <c r="A16" s="12" t="n">
        <v>1</v>
      </c>
      <c r="B16" s="4" t="n">
        <f aca="false">MIN(MAX($A16-$B$8+MIN(MAX($B$4-$B$5,0),$B$10),1),80)</f>
        <v>1</v>
      </c>
      <c r="C16" s="4" t="n">
        <f aca="false">MIN(MAX(MIN(MAX($A16-$B$9+MIN(MAX($B$4-$B$5,0),$B$10),MIN(IF($B$6&gt;0,$B$6,$B$4),IF($B$7&gt;0,$B$7,$B$4))),IF($B$7&gt;0,$B$7,$B$4)),1),80)</f>
        <v>25</v>
      </c>
      <c r="D16" s="4" t="str">
        <f aca="false">IF(OR((B16-$B$4)&lt;-$B$11,(B16-$B$4)&gt;$B$12),"scaled","normal")</f>
        <v>scaled</v>
      </c>
      <c r="E16" s="4" t="str">
        <f aca="false">IF(OR((C16-$B$4)&lt;-$B$11,(C16-$B$4)&gt;$B$12),"scaled","normal")</f>
        <v>scaled</v>
      </c>
    </row>
    <row r="17" customFormat="false" ht="15" hidden="false" customHeight="false" outlineLevel="0" collapsed="false">
      <c r="A17" s="12" t="n">
        <v>2</v>
      </c>
      <c r="B17" s="4" t="n">
        <f aca="false">MIN(MAX($A17-$B$8+MIN(MAX($B$4-$B$5,0),$B$10),1),80)</f>
        <v>1</v>
      </c>
      <c r="C17" s="4" t="n">
        <f aca="false">MIN(MAX(MIN(MAX($A17-$B$9+MIN(MAX($B$4-$B$5,0),$B$10),MIN(IF($B$6&gt;0,$B$6,$B$4),IF($B$7&gt;0,$B$7,$B$4))),IF($B$7&gt;0,$B$7,$B$4)),1),80)</f>
        <v>25</v>
      </c>
      <c r="D17" s="4" t="str">
        <f aca="false">IF(OR((B17-$B$4)&lt;-$B$11,(B17-$B$4)&gt;$B$12),"scaled","normal")</f>
        <v>scaled</v>
      </c>
      <c r="E17" s="4" t="str">
        <f aca="false">IF(OR((C17-$B$4)&lt;-$B$11,(C17-$B$4)&gt;$B$12),"scaled","normal")</f>
        <v>scaled</v>
      </c>
    </row>
    <row r="18" customFormat="false" ht="15" hidden="false" customHeight="false" outlineLevel="0" collapsed="false">
      <c r="A18" s="12" t="n">
        <v>3</v>
      </c>
      <c r="B18" s="4" t="n">
        <f aca="false">MIN(MAX($A18-$B$8+MIN(MAX($B$4-$B$5,0),$B$10),1),80)</f>
        <v>1</v>
      </c>
      <c r="C18" s="4" t="n">
        <f aca="false">MIN(MAX(MIN(MAX($A18-$B$9+MIN(MAX($B$4-$B$5,0),$B$10),MIN(IF($B$6&gt;0,$B$6,$B$4),IF($B$7&gt;0,$B$7,$B$4))),IF($B$7&gt;0,$B$7,$B$4)),1),80)</f>
        <v>25</v>
      </c>
      <c r="D18" s="4" t="str">
        <f aca="false">IF(OR((B18-$B$4)&lt;-$B$11,(B18-$B$4)&gt;$B$12),"scaled","normal")</f>
        <v>scaled</v>
      </c>
      <c r="E18" s="4" t="str">
        <f aca="false">IF(OR((C18-$B$4)&lt;-$B$11,(C18-$B$4)&gt;$B$12),"scaled","normal")</f>
        <v>scaled</v>
      </c>
    </row>
    <row r="19" customFormat="false" ht="15" hidden="false" customHeight="false" outlineLevel="0" collapsed="false">
      <c r="A19" s="12" t="n">
        <v>4</v>
      </c>
      <c r="B19" s="4" t="n">
        <f aca="false">MIN(MAX($A19-$B$8+MIN(MAX($B$4-$B$5,0),$B$10),1),80)</f>
        <v>2</v>
      </c>
      <c r="C19" s="4" t="n">
        <f aca="false">MIN(MAX(MIN(MAX($A19-$B$9+MIN(MAX($B$4-$B$5,0),$B$10),MIN(IF($B$6&gt;0,$B$6,$B$4),IF($B$7&gt;0,$B$7,$B$4))),IF($B$7&gt;0,$B$7,$B$4)),1),80)</f>
        <v>25</v>
      </c>
      <c r="D19" s="4" t="str">
        <f aca="false">IF(OR((B19-$B$4)&lt;-$B$11,(B19-$B$4)&gt;$B$12),"scaled","normal")</f>
        <v>scaled</v>
      </c>
      <c r="E19" s="4" t="str">
        <f aca="false">IF(OR((C19-$B$4)&lt;-$B$11,(C19-$B$4)&gt;$B$12),"scaled","normal")</f>
        <v>scaled</v>
      </c>
    </row>
    <row r="20" customFormat="false" ht="15" hidden="false" customHeight="false" outlineLevel="0" collapsed="false">
      <c r="A20" s="12" t="n">
        <v>5</v>
      </c>
      <c r="B20" s="4" t="n">
        <f aca="false">MIN(MAX($A20-$B$8+MIN(MAX($B$4-$B$5,0),$B$10),1),80)</f>
        <v>3</v>
      </c>
      <c r="C20" s="4" t="n">
        <f aca="false">MIN(MAX(MIN(MAX($A20-$B$9+MIN(MAX($B$4-$B$5,0),$B$10),MIN(IF($B$6&gt;0,$B$6,$B$4),IF($B$7&gt;0,$B$7,$B$4))),IF($B$7&gt;0,$B$7,$B$4)),1),80)</f>
        <v>25</v>
      </c>
      <c r="D20" s="4" t="str">
        <f aca="false">IF(OR((B20-$B$4)&lt;-$B$11,(B20-$B$4)&gt;$B$12),"scaled","normal")</f>
        <v>scaled</v>
      </c>
      <c r="E20" s="4" t="str">
        <f aca="false">IF(OR((C20-$B$4)&lt;-$B$11,(C20-$B$4)&gt;$B$12),"scaled","normal")</f>
        <v>scaled</v>
      </c>
    </row>
    <row r="21" customFormat="false" ht="15" hidden="false" customHeight="false" outlineLevel="0" collapsed="false">
      <c r="A21" s="12" t="n">
        <v>6</v>
      </c>
      <c r="B21" s="4" t="n">
        <f aca="false">MIN(MAX($A21-$B$8+MIN(MAX($B$4-$B$5,0),$B$10),1),80)</f>
        <v>4</v>
      </c>
      <c r="C21" s="4" t="n">
        <f aca="false">MIN(MAX(MIN(MAX($A21-$B$9+MIN(MAX($B$4-$B$5,0),$B$10),MIN(IF($B$6&gt;0,$B$6,$B$4),IF($B$7&gt;0,$B$7,$B$4))),IF($B$7&gt;0,$B$7,$B$4)),1),80)</f>
        <v>25</v>
      </c>
      <c r="D21" s="4" t="str">
        <f aca="false">IF(OR((B21-$B$4)&lt;-$B$11,(B21-$B$4)&gt;$B$12),"scaled","normal")</f>
        <v>scaled</v>
      </c>
      <c r="E21" s="4" t="str">
        <f aca="false">IF(OR((C21-$B$4)&lt;-$B$11,(C21-$B$4)&gt;$B$12),"scaled","normal")</f>
        <v>scaled</v>
      </c>
    </row>
    <row r="22" customFormat="false" ht="15" hidden="false" customHeight="false" outlineLevel="0" collapsed="false">
      <c r="A22" s="12" t="n">
        <v>7</v>
      </c>
      <c r="B22" s="4" t="n">
        <f aca="false">MIN(MAX($A22-$B$8+MIN(MAX($B$4-$B$5,0),$B$10),1),80)</f>
        <v>5</v>
      </c>
      <c r="C22" s="4" t="n">
        <f aca="false">MIN(MAX(MIN(MAX($A22-$B$9+MIN(MAX($B$4-$B$5,0),$B$10),MIN(IF($B$6&gt;0,$B$6,$B$4),IF($B$7&gt;0,$B$7,$B$4))),IF($B$7&gt;0,$B$7,$B$4)),1),80)</f>
        <v>25</v>
      </c>
      <c r="D22" s="4" t="str">
        <f aca="false">IF(OR((B22-$B$4)&lt;-$B$11,(B22-$B$4)&gt;$B$12),"scaled","normal")</f>
        <v>scaled</v>
      </c>
      <c r="E22" s="4" t="str">
        <f aca="false">IF(OR((C22-$B$4)&lt;-$B$11,(C22-$B$4)&gt;$B$12),"scaled","normal")</f>
        <v>scaled</v>
      </c>
    </row>
    <row r="23" customFormat="false" ht="15" hidden="false" customHeight="false" outlineLevel="0" collapsed="false">
      <c r="A23" s="12" t="n">
        <v>8</v>
      </c>
      <c r="B23" s="4" t="n">
        <f aca="false">MIN(MAX($A23-$B$8+MIN(MAX($B$4-$B$5,0),$B$10),1),80)</f>
        <v>6</v>
      </c>
      <c r="C23" s="4" t="n">
        <f aca="false">MIN(MAX(MIN(MAX($A23-$B$9+MIN(MAX($B$4-$B$5,0),$B$10),MIN(IF($B$6&gt;0,$B$6,$B$4),IF($B$7&gt;0,$B$7,$B$4))),IF($B$7&gt;0,$B$7,$B$4)),1),80)</f>
        <v>25</v>
      </c>
      <c r="D23" s="4" t="str">
        <f aca="false">IF(OR((B23-$B$4)&lt;-$B$11,(B23-$B$4)&gt;$B$12),"scaled","normal")</f>
        <v>scaled</v>
      </c>
      <c r="E23" s="4" t="str">
        <f aca="false">IF(OR((C23-$B$4)&lt;-$B$11,(C23-$B$4)&gt;$B$12),"scaled","normal")</f>
        <v>scaled</v>
      </c>
    </row>
    <row r="24" customFormat="false" ht="15" hidden="false" customHeight="false" outlineLevel="0" collapsed="false">
      <c r="A24" s="12" t="n">
        <v>9</v>
      </c>
      <c r="B24" s="4" t="n">
        <f aca="false">MIN(MAX($A24-$B$8+MIN(MAX($B$4-$B$5,0),$B$10),1),80)</f>
        <v>7</v>
      </c>
      <c r="C24" s="4" t="n">
        <f aca="false">MIN(MAX(MIN(MAX($A24-$B$9+MIN(MAX($B$4-$B$5,0),$B$10),MIN(IF($B$6&gt;0,$B$6,$B$4),IF($B$7&gt;0,$B$7,$B$4))),IF($B$7&gt;0,$B$7,$B$4)),1),80)</f>
        <v>25</v>
      </c>
      <c r="D24" s="4" t="str">
        <f aca="false">IF(OR((B24-$B$4)&lt;-$B$11,(B24-$B$4)&gt;$B$12),"scaled","normal")</f>
        <v>scaled</v>
      </c>
      <c r="E24" s="4" t="str">
        <f aca="false">IF(OR((C24-$B$4)&lt;-$B$11,(C24-$B$4)&gt;$B$12),"scaled","normal")</f>
        <v>scaled</v>
      </c>
    </row>
    <row r="25" customFormat="false" ht="15" hidden="false" customHeight="false" outlineLevel="0" collapsed="false">
      <c r="A25" s="12" t="n">
        <v>10</v>
      </c>
      <c r="B25" s="4" t="n">
        <f aca="false">MIN(MAX($A25-$B$8+MIN(MAX($B$4-$B$5,0),$B$10),1),80)</f>
        <v>8</v>
      </c>
      <c r="C25" s="4" t="n">
        <f aca="false">MIN(MAX(MIN(MAX($A25-$B$9+MIN(MAX($B$4-$B$5,0),$B$10),MIN(IF($B$6&gt;0,$B$6,$B$4),IF($B$7&gt;0,$B$7,$B$4))),IF($B$7&gt;0,$B$7,$B$4)),1),80)</f>
        <v>25</v>
      </c>
      <c r="D25" s="4" t="str">
        <f aca="false">IF(OR((B25-$B$4)&lt;-$B$11,(B25-$B$4)&gt;$B$12),"scaled","normal")</f>
        <v>scaled</v>
      </c>
      <c r="E25" s="4" t="str">
        <f aca="false">IF(OR((C25-$B$4)&lt;-$B$11,(C25-$B$4)&gt;$B$12),"scaled","normal")</f>
        <v>scaled</v>
      </c>
    </row>
    <row r="26" customFormat="false" ht="15" hidden="false" customHeight="false" outlineLevel="0" collapsed="false">
      <c r="A26" s="12" t="n">
        <v>11</v>
      </c>
      <c r="B26" s="4" t="n">
        <f aca="false">MIN(MAX($A26-$B$8+MIN(MAX($B$4-$B$5,0),$B$10),1),80)</f>
        <v>9</v>
      </c>
      <c r="C26" s="4" t="n">
        <f aca="false">MIN(MAX(MIN(MAX($A26-$B$9+MIN(MAX($B$4-$B$5,0),$B$10),MIN(IF($B$6&gt;0,$B$6,$B$4),IF($B$7&gt;0,$B$7,$B$4))),IF($B$7&gt;0,$B$7,$B$4)),1),80)</f>
        <v>25</v>
      </c>
      <c r="D26" s="4" t="str">
        <f aca="false">IF(OR((B26-$B$4)&lt;-$B$11,(B26-$B$4)&gt;$B$12),"scaled","normal")</f>
        <v>scaled</v>
      </c>
      <c r="E26" s="4" t="str">
        <f aca="false">IF(OR((C26-$B$4)&lt;-$B$11,(C26-$B$4)&gt;$B$12),"scaled","normal")</f>
        <v>scaled</v>
      </c>
    </row>
    <row r="27" customFormat="false" ht="15" hidden="false" customHeight="false" outlineLevel="0" collapsed="false">
      <c r="A27" s="12" t="n">
        <v>12</v>
      </c>
      <c r="B27" s="4" t="n">
        <f aca="false">MIN(MAX($A27-$B$8+MIN(MAX($B$4-$B$5,0),$B$10),1),80)</f>
        <v>10</v>
      </c>
      <c r="C27" s="4" t="n">
        <f aca="false">MIN(MAX(MIN(MAX($A27-$B$9+MIN(MAX($B$4-$B$5,0),$B$10),MIN(IF($B$6&gt;0,$B$6,$B$4),IF($B$7&gt;0,$B$7,$B$4))),IF($B$7&gt;0,$B$7,$B$4)),1),80)</f>
        <v>25</v>
      </c>
      <c r="D27" s="4" t="str">
        <f aca="false">IF(OR((B27-$B$4)&lt;-$B$11,(B27-$B$4)&gt;$B$12),"scaled","normal")</f>
        <v>scaled</v>
      </c>
      <c r="E27" s="4" t="str">
        <f aca="false">IF(OR((C27-$B$4)&lt;-$B$11,(C27-$B$4)&gt;$B$12),"scaled","normal")</f>
        <v>scaled</v>
      </c>
    </row>
    <row r="28" customFormat="false" ht="15" hidden="false" customHeight="false" outlineLevel="0" collapsed="false">
      <c r="A28" s="12" t="n">
        <v>13</v>
      </c>
      <c r="B28" s="4" t="n">
        <f aca="false">MIN(MAX($A28-$B$8+MIN(MAX($B$4-$B$5,0),$B$10),1),80)</f>
        <v>11</v>
      </c>
      <c r="C28" s="4" t="n">
        <f aca="false">MIN(MAX(MIN(MAX($A28-$B$9+MIN(MAX($B$4-$B$5,0),$B$10),MIN(IF($B$6&gt;0,$B$6,$B$4),IF($B$7&gt;0,$B$7,$B$4))),IF($B$7&gt;0,$B$7,$B$4)),1),80)</f>
        <v>25</v>
      </c>
      <c r="D28" s="4" t="str">
        <f aca="false">IF(OR((B28-$B$4)&lt;-$B$11,(B28-$B$4)&gt;$B$12),"scaled","normal")</f>
        <v>scaled</v>
      </c>
      <c r="E28" s="4" t="str">
        <f aca="false">IF(OR((C28-$B$4)&lt;-$B$11,(C28-$B$4)&gt;$B$12),"scaled","normal")</f>
        <v>scaled</v>
      </c>
    </row>
    <row r="29" customFormat="false" ht="15" hidden="false" customHeight="false" outlineLevel="0" collapsed="false">
      <c r="A29" s="12" t="n">
        <v>14</v>
      </c>
      <c r="B29" s="4" t="n">
        <f aca="false">MIN(MAX($A29-$B$8+MIN(MAX($B$4-$B$5,0),$B$10),1),80)</f>
        <v>12</v>
      </c>
      <c r="C29" s="4" t="n">
        <f aca="false">MIN(MAX(MIN(MAX($A29-$B$9+MIN(MAX($B$4-$B$5,0),$B$10),MIN(IF($B$6&gt;0,$B$6,$B$4),IF($B$7&gt;0,$B$7,$B$4))),IF($B$7&gt;0,$B$7,$B$4)),1),80)</f>
        <v>25</v>
      </c>
      <c r="D29" s="4" t="str">
        <f aca="false">IF(OR((B29-$B$4)&lt;-$B$11,(B29-$B$4)&gt;$B$12),"scaled","normal")</f>
        <v>scaled</v>
      </c>
      <c r="E29" s="4" t="str">
        <f aca="false">IF(OR((C29-$B$4)&lt;-$B$11,(C29-$B$4)&gt;$B$12),"scaled","normal")</f>
        <v>scaled</v>
      </c>
    </row>
    <row r="30" customFormat="false" ht="15" hidden="false" customHeight="false" outlineLevel="0" collapsed="false">
      <c r="A30" s="12" t="n">
        <v>15</v>
      </c>
      <c r="B30" s="4" t="n">
        <f aca="false">MIN(MAX($A30-$B$8+MIN(MAX($B$4-$B$5,0),$B$10),1),80)</f>
        <v>13</v>
      </c>
      <c r="C30" s="4" t="n">
        <f aca="false">MIN(MAX(MIN(MAX($A30-$B$9+MIN(MAX($B$4-$B$5,0),$B$10),MIN(IF($B$6&gt;0,$B$6,$B$4),IF($B$7&gt;0,$B$7,$B$4))),IF($B$7&gt;0,$B$7,$B$4)),1),80)</f>
        <v>25</v>
      </c>
      <c r="D30" s="4" t="str">
        <f aca="false">IF(OR((B30-$B$4)&lt;-$B$11,(B30-$B$4)&gt;$B$12),"scaled","normal")</f>
        <v>scaled</v>
      </c>
      <c r="E30" s="4" t="str">
        <f aca="false">IF(OR((C30-$B$4)&lt;-$B$11,(C30-$B$4)&gt;$B$12),"scaled","normal")</f>
        <v>scaled</v>
      </c>
    </row>
    <row r="31" customFormat="false" ht="15" hidden="false" customHeight="false" outlineLevel="0" collapsed="false">
      <c r="A31" s="12" t="n">
        <v>16</v>
      </c>
      <c r="B31" s="4" t="n">
        <f aca="false">MIN(MAX($A31-$B$8+MIN(MAX($B$4-$B$5,0),$B$10),1),80)</f>
        <v>14</v>
      </c>
      <c r="C31" s="4" t="n">
        <f aca="false">MIN(MAX(MIN(MAX($A31-$B$9+MIN(MAX($B$4-$B$5,0),$B$10),MIN(IF($B$6&gt;0,$B$6,$B$4),IF($B$7&gt;0,$B$7,$B$4))),IF($B$7&gt;0,$B$7,$B$4)),1),80)</f>
        <v>25</v>
      </c>
      <c r="D31" s="4" t="str">
        <f aca="false">IF(OR((B31-$B$4)&lt;-$B$11,(B31-$B$4)&gt;$B$12),"scaled","normal")</f>
        <v>scaled</v>
      </c>
      <c r="E31" s="4" t="str">
        <f aca="false">IF(OR((C31-$B$4)&lt;-$B$11,(C31-$B$4)&gt;$B$12),"scaled","normal")</f>
        <v>scaled</v>
      </c>
    </row>
    <row r="32" customFormat="false" ht="15" hidden="false" customHeight="false" outlineLevel="0" collapsed="false">
      <c r="A32" s="12" t="n">
        <v>17</v>
      </c>
      <c r="B32" s="4" t="n">
        <f aca="false">MIN(MAX($A32-$B$8+MIN(MAX($B$4-$B$5,0),$B$10),1),80)</f>
        <v>15</v>
      </c>
      <c r="C32" s="4" t="n">
        <f aca="false">MIN(MAX(MIN(MAX($A32-$B$9+MIN(MAX($B$4-$B$5,0),$B$10),MIN(IF($B$6&gt;0,$B$6,$B$4),IF($B$7&gt;0,$B$7,$B$4))),IF($B$7&gt;0,$B$7,$B$4)),1),80)</f>
        <v>25</v>
      </c>
      <c r="D32" s="4" t="str">
        <f aca="false">IF(OR((B32-$B$4)&lt;-$B$11,(B32-$B$4)&gt;$B$12),"scaled","normal")</f>
        <v>scaled</v>
      </c>
      <c r="E32" s="4" t="str">
        <f aca="false">IF(OR((C32-$B$4)&lt;-$B$11,(C32-$B$4)&gt;$B$12),"scaled","normal")</f>
        <v>scaled</v>
      </c>
    </row>
    <row r="33" customFormat="false" ht="15" hidden="false" customHeight="false" outlineLevel="0" collapsed="false">
      <c r="A33" s="12" t="n">
        <v>18</v>
      </c>
      <c r="B33" s="4" t="n">
        <f aca="false">MIN(MAX($A33-$B$8+MIN(MAX($B$4-$B$5,0),$B$10),1),80)</f>
        <v>16</v>
      </c>
      <c r="C33" s="4" t="n">
        <f aca="false">MIN(MAX(MIN(MAX($A33-$B$9+MIN(MAX($B$4-$B$5,0),$B$10),MIN(IF($B$6&gt;0,$B$6,$B$4),IF($B$7&gt;0,$B$7,$B$4))),IF($B$7&gt;0,$B$7,$B$4)),1),80)</f>
        <v>25</v>
      </c>
      <c r="D33" s="4" t="str">
        <f aca="false">IF(OR((B33-$B$4)&lt;-$B$11,(B33-$B$4)&gt;$B$12),"scaled","normal")</f>
        <v>scaled</v>
      </c>
      <c r="E33" s="4" t="str">
        <f aca="false">IF(OR((C33-$B$4)&lt;-$B$11,(C33-$B$4)&gt;$B$12),"scaled","normal")</f>
        <v>scaled</v>
      </c>
    </row>
    <row r="34" customFormat="false" ht="15" hidden="false" customHeight="false" outlineLevel="0" collapsed="false">
      <c r="A34" s="12" t="n">
        <v>19</v>
      </c>
      <c r="B34" s="4" t="n">
        <f aca="false">MIN(MAX($A34-$B$8+MIN(MAX($B$4-$B$5,0),$B$10),1),80)</f>
        <v>17</v>
      </c>
      <c r="C34" s="4" t="n">
        <f aca="false">MIN(MAX(MIN(MAX($A34-$B$9+MIN(MAX($B$4-$B$5,0),$B$10),MIN(IF($B$6&gt;0,$B$6,$B$4),IF($B$7&gt;0,$B$7,$B$4))),IF($B$7&gt;0,$B$7,$B$4)),1),80)</f>
        <v>25</v>
      </c>
      <c r="D34" s="4" t="str">
        <f aca="false">IF(OR((B34-$B$4)&lt;-$B$11,(B34-$B$4)&gt;$B$12),"scaled","normal")</f>
        <v>scaled</v>
      </c>
      <c r="E34" s="4" t="str">
        <f aca="false">IF(OR((C34-$B$4)&lt;-$B$11,(C34-$B$4)&gt;$B$12),"scaled","normal")</f>
        <v>scaled</v>
      </c>
    </row>
    <row r="35" customFormat="false" ht="15" hidden="false" customHeight="false" outlineLevel="0" collapsed="false">
      <c r="A35" s="12" t="n">
        <v>20</v>
      </c>
      <c r="B35" s="4" t="n">
        <f aca="false">MIN(MAX($A35-$B$8+MIN(MAX($B$4-$B$5,0),$B$10),1),80)</f>
        <v>18</v>
      </c>
      <c r="C35" s="4" t="n">
        <f aca="false">MIN(MAX(MIN(MAX($A35-$B$9+MIN(MAX($B$4-$B$5,0),$B$10),MIN(IF($B$6&gt;0,$B$6,$B$4),IF($B$7&gt;0,$B$7,$B$4))),IF($B$7&gt;0,$B$7,$B$4)),1),80)</f>
        <v>25</v>
      </c>
      <c r="D35" s="4" t="str">
        <f aca="false">IF(OR((B35-$B$4)&lt;-$B$11,(B35-$B$4)&gt;$B$12),"scaled","normal")</f>
        <v>scaled</v>
      </c>
      <c r="E35" s="4" t="str">
        <f aca="false">IF(OR((C35-$B$4)&lt;-$B$11,(C35-$B$4)&gt;$B$12),"scaled","normal")</f>
        <v>scaled</v>
      </c>
    </row>
    <row r="36" customFormat="false" ht="15" hidden="false" customHeight="false" outlineLevel="0" collapsed="false">
      <c r="A36" s="12" t="n">
        <v>21</v>
      </c>
      <c r="B36" s="4" t="n">
        <f aca="false">MIN(MAX($A36-$B$8+MIN(MAX($B$4-$B$5,0),$B$10),1),80)</f>
        <v>19</v>
      </c>
      <c r="C36" s="4" t="n">
        <f aca="false">MIN(MAX(MIN(MAX($A36-$B$9+MIN(MAX($B$4-$B$5,0),$B$10),MIN(IF($B$6&gt;0,$B$6,$B$4),IF($B$7&gt;0,$B$7,$B$4))),IF($B$7&gt;0,$B$7,$B$4)),1),80)</f>
        <v>25</v>
      </c>
      <c r="D36" s="4" t="str">
        <f aca="false">IF(OR((B36-$B$4)&lt;-$B$11,(B36-$B$4)&gt;$B$12),"scaled","normal")</f>
        <v>scaled</v>
      </c>
      <c r="E36" s="4" t="str">
        <f aca="false">IF(OR((C36-$B$4)&lt;-$B$11,(C36-$B$4)&gt;$B$12),"scaled","normal")</f>
        <v>scaled</v>
      </c>
    </row>
    <row r="37" customFormat="false" ht="15" hidden="false" customHeight="false" outlineLevel="0" collapsed="false">
      <c r="A37" s="12" t="n">
        <v>22</v>
      </c>
      <c r="B37" s="4" t="n">
        <f aca="false">MIN(MAX($A37-$B$8+MIN(MAX($B$4-$B$5,0),$B$10),1),80)</f>
        <v>20</v>
      </c>
      <c r="C37" s="4" t="n">
        <f aca="false">MIN(MAX(MIN(MAX($A37-$B$9+MIN(MAX($B$4-$B$5,0),$B$10),MIN(IF($B$6&gt;0,$B$6,$B$4),IF($B$7&gt;0,$B$7,$B$4))),IF($B$7&gt;0,$B$7,$B$4)),1),80)</f>
        <v>25</v>
      </c>
      <c r="D37" s="4" t="str">
        <f aca="false">IF(OR((B37-$B$4)&lt;-$B$11,(B37-$B$4)&gt;$B$12),"scaled","normal")</f>
        <v>scaled</v>
      </c>
      <c r="E37" s="4" t="str">
        <f aca="false">IF(OR((C37-$B$4)&lt;-$B$11,(C37-$B$4)&gt;$B$12),"scaled","normal")</f>
        <v>scaled</v>
      </c>
    </row>
    <row r="38" customFormat="false" ht="15" hidden="false" customHeight="false" outlineLevel="0" collapsed="false">
      <c r="A38" s="12" t="n">
        <v>23</v>
      </c>
      <c r="B38" s="4" t="n">
        <f aca="false">MIN(MAX($A38-$B$8+MIN(MAX($B$4-$B$5,0),$B$10),1),80)</f>
        <v>21</v>
      </c>
      <c r="C38" s="4" t="n">
        <f aca="false">MIN(MAX(MIN(MAX($A38-$B$9+MIN(MAX($B$4-$B$5,0),$B$10),MIN(IF($B$6&gt;0,$B$6,$B$4),IF($B$7&gt;0,$B$7,$B$4))),IF($B$7&gt;0,$B$7,$B$4)),1),80)</f>
        <v>25</v>
      </c>
      <c r="D38" s="4" t="str">
        <f aca="false">IF(OR((B38-$B$4)&lt;-$B$11,(B38-$B$4)&gt;$B$12),"scaled","normal")</f>
        <v>scaled</v>
      </c>
      <c r="E38" s="4" t="str">
        <f aca="false">IF(OR((C38-$B$4)&lt;-$B$11,(C38-$B$4)&gt;$B$12),"scaled","normal")</f>
        <v>scaled</v>
      </c>
    </row>
    <row r="39" customFormat="false" ht="15" hidden="false" customHeight="false" outlineLevel="0" collapsed="false">
      <c r="A39" s="12" t="n">
        <v>24</v>
      </c>
      <c r="B39" s="4" t="n">
        <f aca="false">MIN(MAX($A39-$B$8+MIN(MAX($B$4-$B$5,0),$B$10),1),80)</f>
        <v>22</v>
      </c>
      <c r="C39" s="4" t="n">
        <f aca="false">MIN(MAX(MIN(MAX($A39-$B$9+MIN(MAX($B$4-$B$5,0),$B$10),MIN(IF($B$6&gt;0,$B$6,$B$4),IF($B$7&gt;0,$B$7,$B$4))),IF($B$7&gt;0,$B$7,$B$4)),1),80)</f>
        <v>25</v>
      </c>
      <c r="D39" s="4" t="str">
        <f aca="false">IF(OR((B39-$B$4)&lt;-$B$11,(B39-$B$4)&gt;$B$12),"scaled","normal")</f>
        <v>scaled</v>
      </c>
      <c r="E39" s="4" t="str">
        <f aca="false">IF(OR((C39-$B$4)&lt;-$B$11,(C39-$B$4)&gt;$B$12),"scaled","normal")</f>
        <v>scaled</v>
      </c>
    </row>
    <row r="40" customFormat="false" ht="15" hidden="false" customHeight="false" outlineLevel="0" collapsed="false">
      <c r="A40" s="12" t="n">
        <v>25</v>
      </c>
      <c r="B40" s="4" t="n">
        <f aca="false">MIN(MAX($A40-$B$8+MIN(MAX($B$4-$B$5,0),$B$10),1),80)</f>
        <v>23</v>
      </c>
      <c r="C40" s="4" t="n">
        <f aca="false">MIN(MAX(MIN(MAX($A40-$B$9+MIN(MAX($B$4-$B$5,0),$B$10),MIN(IF($B$6&gt;0,$B$6,$B$4),IF($B$7&gt;0,$B$7,$B$4))),IF($B$7&gt;0,$B$7,$B$4)),1),80)</f>
        <v>25</v>
      </c>
      <c r="D40" s="4" t="str">
        <f aca="false">IF(OR((B40-$B$4)&lt;-$B$11,(B40-$B$4)&gt;$B$12),"scaled","normal")</f>
        <v>scaled</v>
      </c>
      <c r="E40" s="4" t="str">
        <f aca="false">IF(OR((C40-$B$4)&lt;-$B$11,(C40-$B$4)&gt;$B$12),"scaled","normal")</f>
        <v>scaled</v>
      </c>
    </row>
    <row r="41" customFormat="false" ht="15" hidden="false" customHeight="false" outlineLevel="0" collapsed="false">
      <c r="A41" s="12" t="n">
        <v>26</v>
      </c>
      <c r="B41" s="4" t="n">
        <f aca="false">MIN(MAX($A41-$B$8+MIN(MAX($B$4-$B$5,0),$B$10),1),80)</f>
        <v>24</v>
      </c>
      <c r="C41" s="4" t="n">
        <f aca="false">MIN(MAX(MIN(MAX($A41-$B$9+MIN(MAX($B$4-$B$5,0),$B$10),MIN(IF($B$6&gt;0,$B$6,$B$4),IF($B$7&gt;0,$B$7,$B$4))),IF($B$7&gt;0,$B$7,$B$4)),1),80)</f>
        <v>25</v>
      </c>
      <c r="D41" s="4" t="str">
        <f aca="false">IF(OR((B41-$B$4)&lt;-$B$11,(B41-$B$4)&gt;$B$12),"scaled","normal")</f>
        <v>scaled</v>
      </c>
      <c r="E41" s="4" t="str">
        <f aca="false">IF(OR((C41-$B$4)&lt;-$B$11,(C41-$B$4)&gt;$B$12),"scaled","normal")</f>
        <v>scaled</v>
      </c>
    </row>
    <row r="42" customFormat="false" ht="15" hidden="false" customHeight="false" outlineLevel="0" collapsed="false">
      <c r="A42" s="12" t="n">
        <v>27</v>
      </c>
      <c r="B42" s="4" t="n">
        <f aca="false">MIN(MAX($A42-$B$8+MIN(MAX($B$4-$B$5,0),$B$10),1),80)</f>
        <v>25</v>
      </c>
      <c r="C42" s="4" t="n">
        <f aca="false">MIN(MAX(MIN(MAX($A42-$B$9+MIN(MAX($B$4-$B$5,0),$B$10),MIN(IF($B$6&gt;0,$B$6,$B$4),IF($B$7&gt;0,$B$7,$B$4))),IF($B$7&gt;0,$B$7,$B$4)),1),80)</f>
        <v>26</v>
      </c>
      <c r="D42" s="4" t="str">
        <f aca="false">IF(OR((B42-$B$4)&lt;-$B$11,(B42-$B$4)&gt;$B$12),"scaled","normal")</f>
        <v>scaled</v>
      </c>
      <c r="E42" s="4" t="str">
        <f aca="false">IF(OR((C42-$B$4)&lt;-$B$11,(C42-$B$4)&gt;$B$12),"scaled","normal")</f>
        <v>scaled</v>
      </c>
    </row>
    <row r="43" customFormat="false" ht="15" hidden="false" customHeight="false" outlineLevel="0" collapsed="false">
      <c r="A43" s="12" t="n">
        <v>28</v>
      </c>
      <c r="B43" s="4" t="n">
        <f aca="false">MIN(MAX($A43-$B$8+MIN(MAX($B$4-$B$5,0),$B$10),1),80)</f>
        <v>26</v>
      </c>
      <c r="C43" s="4" t="n">
        <f aca="false">MIN(MAX(MIN(MAX($A43-$B$9+MIN(MAX($B$4-$B$5,0),$B$10),MIN(IF($B$6&gt;0,$B$6,$B$4),IF($B$7&gt;0,$B$7,$B$4))),IF($B$7&gt;0,$B$7,$B$4)),1),80)</f>
        <v>27</v>
      </c>
      <c r="D43" s="4" t="str">
        <f aca="false">IF(OR((B43-$B$4)&lt;-$B$11,(B43-$B$4)&gt;$B$12),"scaled","normal")</f>
        <v>scaled</v>
      </c>
      <c r="E43" s="4" t="str">
        <f aca="false">IF(OR((C43-$B$4)&lt;-$B$11,(C43-$B$4)&gt;$B$12),"scaled","normal")</f>
        <v>normal</v>
      </c>
    </row>
    <row r="44" customFormat="false" ht="15" hidden="false" customHeight="false" outlineLevel="0" collapsed="false">
      <c r="A44" s="12" t="n">
        <v>29</v>
      </c>
      <c r="B44" s="4" t="n">
        <f aca="false">MIN(MAX($A44-$B$8+MIN(MAX($B$4-$B$5,0),$B$10),1),80)</f>
        <v>27</v>
      </c>
      <c r="C44" s="4" t="n">
        <f aca="false">MIN(MAX(MIN(MAX($A44-$B$9+MIN(MAX($B$4-$B$5,0),$B$10),MIN(IF($B$6&gt;0,$B$6,$B$4),IF($B$7&gt;0,$B$7,$B$4))),IF($B$7&gt;0,$B$7,$B$4)),1),80)</f>
        <v>28</v>
      </c>
      <c r="D44" s="4" t="str">
        <f aca="false">IF(OR((B44-$B$4)&lt;-$B$11,(B44-$B$4)&gt;$B$12),"scaled","normal")</f>
        <v>normal</v>
      </c>
      <c r="E44" s="4" t="str">
        <f aca="false">IF(OR((C44-$B$4)&lt;-$B$11,(C44-$B$4)&gt;$B$12),"scaled","normal")</f>
        <v>normal</v>
      </c>
    </row>
    <row r="45" customFormat="false" ht="15" hidden="false" customHeight="false" outlineLevel="0" collapsed="false">
      <c r="A45" s="12" t="n">
        <v>30</v>
      </c>
      <c r="B45" s="4" t="n">
        <f aca="false">MIN(MAX($A45-$B$8+MIN(MAX($B$4-$B$5,0),$B$10),1),80)</f>
        <v>28</v>
      </c>
      <c r="C45" s="4" t="n">
        <f aca="false">MIN(MAX(MIN(MAX($A45-$B$9+MIN(MAX($B$4-$B$5,0),$B$10),MIN(IF($B$6&gt;0,$B$6,$B$4),IF($B$7&gt;0,$B$7,$B$4))),IF($B$7&gt;0,$B$7,$B$4)),1),80)</f>
        <v>29</v>
      </c>
      <c r="D45" s="4" t="str">
        <f aca="false">IF(OR((B45-$B$4)&lt;-$B$11,(B45-$B$4)&gt;$B$12),"scaled","normal")</f>
        <v>normal</v>
      </c>
      <c r="E45" s="4" t="str">
        <f aca="false">IF(OR((C45-$B$4)&lt;-$B$11,(C45-$B$4)&gt;$B$12),"scaled","normal")</f>
        <v>normal</v>
      </c>
    </row>
    <row r="46" customFormat="false" ht="15" hidden="false" customHeight="false" outlineLevel="0" collapsed="false">
      <c r="A46" s="12" t="n">
        <v>31</v>
      </c>
      <c r="B46" s="4" t="n">
        <f aca="false">MIN(MAX($A46-$B$8+MIN(MAX($B$4-$B$5,0),$B$10),1),80)</f>
        <v>29</v>
      </c>
      <c r="C46" s="4" t="n">
        <f aca="false">MIN(MAX(MIN(MAX($A46-$B$9+MIN(MAX($B$4-$B$5,0),$B$10),MIN(IF($B$6&gt;0,$B$6,$B$4),IF($B$7&gt;0,$B$7,$B$4))),IF($B$7&gt;0,$B$7,$B$4)),1),80)</f>
        <v>30</v>
      </c>
      <c r="D46" s="4" t="str">
        <f aca="false">IF(OR((B46-$B$4)&lt;-$B$11,(B46-$B$4)&gt;$B$12),"scaled","normal")</f>
        <v>normal</v>
      </c>
      <c r="E46" s="4" t="str">
        <f aca="false">IF(OR((C46-$B$4)&lt;-$B$11,(C46-$B$4)&gt;$B$12),"scaled","normal")</f>
        <v>normal</v>
      </c>
    </row>
    <row r="47" customFormat="false" ht="15" hidden="false" customHeight="false" outlineLevel="0" collapsed="false">
      <c r="A47" s="12" t="n">
        <v>32</v>
      </c>
      <c r="B47" s="4" t="n">
        <f aca="false">MIN(MAX($A47-$B$8+MIN(MAX($B$4-$B$5,0),$B$10),1),80)</f>
        <v>30</v>
      </c>
      <c r="C47" s="4" t="n">
        <f aca="false">MIN(MAX(MIN(MAX($A47-$B$9+MIN(MAX($B$4-$B$5,0),$B$10),MIN(IF($B$6&gt;0,$B$6,$B$4),IF($B$7&gt;0,$B$7,$B$4))),IF($B$7&gt;0,$B$7,$B$4)),1),80)</f>
        <v>31</v>
      </c>
      <c r="D47" s="4" t="str">
        <f aca="false">IF(OR((B47-$B$4)&lt;-$B$11,(B47-$B$4)&gt;$B$12),"scaled","normal")</f>
        <v>normal</v>
      </c>
      <c r="E47" s="4" t="str">
        <f aca="false">IF(OR((C47-$B$4)&lt;-$B$11,(C47-$B$4)&gt;$B$12),"scaled","normal")</f>
        <v>normal</v>
      </c>
    </row>
    <row r="48" customFormat="false" ht="15" hidden="false" customHeight="false" outlineLevel="0" collapsed="false">
      <c r="A48" s="12" t="n">
        <v>33</v>
      </c>
      <c r="B48" s="4" t="n">
        <f aca="false">MIN(MAX($A48-$B$8+MIN(MAX($B$4-$B$5,0),$B$10),1),80)</f>
        <v>31</v>
      </c>
      <c r="C48" s="4" t="n">
        <f aca="false">MIN(MAX(MIN(MAX($A48-$B$9+MIN(MAX($B$4-$B$5,0),$B$10),MIN(IF($B$6&gt;0,$B$6,$B$4),IF($B$7&gt;0,$B$7,$B$4))),IF($B$7&gt;0,$B$7,$B$4)),1),80)</f>
        <v>32</v>
      </c>
      <c r="D48" s="4" t="str">
        <f aca="false">IF(OR((B48-$B$4)&lt;-$B$11,(B48-$B$4)&gt;$B$12),"scaled","normal")</f>
        <v>normal</v>
      </c>
      <c r="E48" s="4" t="str">
        <f aca="false">IF(OR((C48-$B$4)&lt;-$B$11,(C48-$B$4)&gt;$B$12),"scaled","normal")</f>
        <v>normal</v>
      </c>
    </row>
    <row r="49" customFormat="false" ht="15" hidden="false" customHeight="false" outlineLevel="0" collapsed="false">
      <c r="A49" s="12" t="n">
        <v>34</v>
      </c>
      <c r="B49" s="4" t="n">
        <f aca="false">MIN(MAX($A49-$B$8+MIN(MAX($B$4-$B$5,0),$B$10),1),80)</f>
        <v>32</v>
      </c>
      <c r="C49" s="4" t="n">
        <f aca="false">MIN(MAX(MIN(MAX($A49-$B$9+MIN(MAX($B$4-$B$5,0),$B$10),MIN(IF($B$6&gt;0,$B$6,$B$4),IF($B$7&gt;0,$B$7,$B$4))),IF($B$7&gt;0,$B$7,$B$4)),1),80)</f>
        <v>33</v>
      </c>
      <c r="D49" s="4" t="str">
        <f aca="false">IF(OR((B49-$B$4)&lt;-$B$11,(B49-$B$4)&gt;$B$12),"scaled","normal")</f>
        <v>normal</v>
      </c>
      <c r="E49" s="4" t="str">
        <f aca="false">IF(OR((C49-$B$4)&lt;-$B$11,(C49-$B$4)&gt;$B$12),"scaled","normal")</f>
        <v>normal</v>
      </c>
    </row>
    <row r="50" customFormat="false" ht="15" hidden="false" customHeight="false" outlineLevel="0" collapsed="false">
      <c r="A50" s="12" t="n">
        <v>35</v>
      </c>
      <c r="B50" s="4" t="n">
        <f aca="false">MIN(MAX($A50-$B$8+MIN(MAX($B$4-$B$5,0),$B$10),1),80)</f>
        <v>33</v>
      </c>
      <c r="C50" s="4" t="n">
        <f aca="false">MIN(MAX(MIN(MAX($A50-$B$9+MIN(MAX($B$4-$B$5,0),$B$10),MIN(IF($B$6&gt;0,$B$6,$B$4),IF($B$7&gt;0,$B$7,$B$4))),IF($B$7&gt;0,$B$7,$B$4)),1),80)</f>
        <v>34</v>
      </c>
      <c r="D50" s="4" t="str">
        <f aca="false">IF(OR((B50-$B$4)&lt;-$B$11,(B50-$B$4)&gt;$B$12),"scaled","normal")</f>
        <v>normal</v>
      </c>
      <c r="E50" s="4" t="str">
        <f aca="false">IF(OR((C50-$B$4)&lt;-$B$11,(C50-$B$4)&gt;$B$12),"scaled","normal")</f>
        <v>scaled</v>
      </c>
    </row>
    <row r="51" customFormat="false" ht="15" hidden="false" customHeight="false" outlineLevel="0" collapsed="false">
      <c r="A51" s="12" t="n">
        <v>36</v>
      </c>
      <c r="B51" s="4" t="n">
        <f aca="false">MIN(MAX($A51-$B$8+MIN(MAX($B$4-$B$5,0),$B$10),1),80)</f>
        <v>34</v>
      </c>
      <c r="C51" s="4" t="n">
        <f aca="false">MIN(MAX(MIN(MAX($A51-$B$9+MIN(MAX($B$4-$B$5,0),$B$10),MIN(IF($B$6&gt;0,$B$6,$B$4),IF($B$7&gt;0,$B$7,$B$4))),IF($B$7&gt;0,$B$7,$B$4)),1),80)</f>
        <v>35</v>
      </c>
      <c r="D51" s="4" t="str">
        <f aca="false">IF(OR((B51-$B$4)&lt;-$B$11,(B51-$B$4)&gt;$B$12),"scaled","normal")</f>
        <v>scaled</v>
      </c>
      <c r="E51" s="4" t="str">
        <f aca="false">IF(OR((C51-$B$4)&lt;-$B$11,(C51-$B$4)&gt;$B$12),"scaled","normal")</f>
        <v>scaled</v>
      </c>
    </row>
    <row r="52" customFormat="false" ht="15" hidden="false" customHeight="false" outlineLevel="0" collapsed="false">
      <c r="A52" s="12" t="n">
        <v>37</v>
      </c>
      <c r="B52" s="4" t="n">
        <f aca="false">MIN(MAX($A52-$B$8+MIN(MAX($B$4-$B$5,0),$B$10),1),80)</f>
        <v>35</v>
      </c>
      <c r="C52" s="4" t="n">
        <f aca="false">MIN(MAX(MIN(MAX($A52-$B$9+MIN(MAX($B$4-$B$5,0),$B$10),MIN(IF($B$6&gt;0,$B$6,$B$4),IF($B$7&gt;0,$B$7,$B$4))),IF($B$7&gt;0,$B$7,$B$4)),1),80)</f>
        <v>35</v>
      </c>
      <c r="D52" s="4" t="str">
        <f aca="false">IF(OR((B52-$B$4)&lt;-$B$11,(B52-$B$4)&gt;$B$12),"scaled","normal")</f>
        <v>scaled</v>
      </c>
      <c r="E52" s="4" t="str">
        <f aca="false">IF(OR((C52-$B$4)&lt;-$B$11,(C52-$B$4)&gt;$B$12),"scaled","normal")</f>
        <v>scaled</v>
      </c>
    </row>
    <row r="53" customFormat="false" ht="15" hidden="false" customHeight="false" outlineLevel="0" collapsed="false">
      <c r="A53" s="12" t="n">
        <v>38</v>
      </c>
      <c r="B53" s="4" t="n">
        <f aca="false">MIN(MAX($A53-$B$8+MIN(MAX($B$4-$B$5,0),$B$10),1),80)</f>
        <v>36</v>
      </c>
      <c r="C53" s="4" t="n">
        <f aca="false">MIN(MAX(MIN(MAX($A53-$B$9+MIN(MAX($B$4-$B$5,0),$B$10),MIN(IF($B$6&gt;0,$B$6,$B$4),IF($B$7&gt;0,$B$7,$B$4))),IF($B$7&gt;0,$B$7,$B$4)),1),80)</f>
        <v>35</v>
      </c>
      <c r="D53" s="4" t="str">
        <f aca="false">IF(OR((B53-$B$4)&lt;-$B$11,(B53-$B$4)&gt;$B$12),"scaled","normal")</f>
        <v>scaled</v>
      </c>
      <c r="E53" s="4" t="str">
        <f aca="false">IF(OR((C53-$B$4)&lt;-$B$11,(C53-$B$4)&gt;$B$12),"scaled","normal")</f>
        <v>scaled</v>
      </c>
    </row>
    <row r="54" customFormat="false" ht="15" hidden="false" customHeight="false" outlineLevel="0" collapsed="false">
      <c r="A54" s="12" t="n">
        <v>39</v>
      </c>
      <c r="B54" s="4" t="n">
        <f aca="false">MIN(MAX($A54-$B$8+MIN(MAX($B$4-$B$5,0),$B$10),1),80)</f>
        <v>37</v>
      </c>
      <c r="C54" s="4" t="n">
        <f aca="false">MIN(MAX(MIN(MAX($A54-$B$9+MIN(MAX($B$4-$B$5,0),$B$10),MIN(IF($B$6&gt;0,$B$6,$B$4),IF($B$7&gt;0,$B$7,$B$4))),IF($B$7&gt;0,$B$7,$B$4)),1),80)</f>
        <v>35</v>
      </c>
      <c r="D54" s="4" t="str">
        <f aca="false">IF(OR((B54-$B$4)&lt;-$B$11,(B54-$B$4)&gt;$B$12),"scaled","normal")</f>
        <v>scaled</v>
      </c>
      <c r="E54" s="4" t="str">
        <f aca="false">IF(OR((C54-$B$4)&lt;-$B$11,(C54-$B$4)&gt;$B$12),"scaled","normal")</f>
        <v>scaled</v>
      </c>
    </row>
    <row r="55" customFormat="false" ht="15" hidden="false" customHeight="false" outlineLevel="0" collapsed="false">
      <c r="A55" s="12" t="n">
        <v>40</v>
      </c>
      <c r="B55" s="4" t="n">
        <f aca="false">MIN(MAX($A55-$B$8+MIN(MAX($B$4-$B$5,0),$B$10),1),80)</f>
        <v>38</v>
      </c>
      <c r="C55" s="4" t="n">
        <f aca="false">MIN(MAX(MIN(MAX($A55-$B$9+MIN(MAX($B$4-$B$5,0),$B$10),MIN(IF($B$6&gt;0,$B$6,$B$4),IF($B$7&gt;0,$B$7,$B$4))),IF($B$7&gt;0,$B$7,$B$4)),1),80)</f>
        <v>35</v>
      </c>
      <c r="D55" s="4" t="str">
        <f aca="false">IF(OR((B55-$B$4)&lt;-$B$11,(B55-$B$4)&gt;$B$12),"scaled","normal")</f>
        <v>scaled</v>
      </c>
      <c r="E55" s="4" t="str">
        <f aca="false">IF(OR((C55-$B$4)&lt;-$B$11,(C55-$B$4)&gt;$B$12),"scaled","normal")</f>
        <v>scaled</v>
      </c>
    </row>
    <row r="56" customFormat="false" ht="15" hidden="false" customHeight="false" outlineLevel="0" collapsed="false">
      <c r="A56" s="12" t="n">
        <v>41</v>
      </c>
      <c r="B56" s="4" t="n">
        <f aca="false">MIN(MAX($A56-$B$8+MIN(MAX($B$4-$B$5,0),$B$10),1),80)</f>
        <v>39</v>
      </c>
      <c r="C56" s="4" t="n">
        <f aca="false">MIN(MAX(MIN(MAX($A56-$B$9+MIN(MAX($B$4-$B$5,0),$B$10),MIN(IF($B$6&gt;0,$B$6,$B$4),IF($B$7&gt;0,$B$7,$B$4))),IF($B$7&gt;0,$B$7,$B$4)),1),80)</f>
        <v>35</v>
      </c>
      <c r="D56" s="4" t="str">
        <f aca="false">IF(OR((B56-$B$4)&lt;-$B$11,(B56-$B$4)&gt;$B$12),"scaled","normal")</f>
        <v>scaled</v>
      </c>
      <c r="E56" s="4" t="str">
        <f aca="false">IF(OR((C56-$B$4)&lt;-$B$11,(C56-$B$4)&gt;$B$12),"scaled","normal")</f>
        <v>scaled</v>
      </c>
    </row>
    <row r="57" customFormat="false" ht="15" hidden="false" customHeight="false" outlineLevel="0" collapsed="false">
      <c r="A57" s="12" t="n">
        <v>42</v>
      </c>
      <c r="B57" s="4" t="n">
        <f aca="false">MIN(MAX($A57-$B$8+MIN(MAX($B$4-$B$5,0),$B$10),1),80)</f>
        <v>40</v>
      </c>
      <c r="C57" s="4" t="n">
        <f aca="false">MIN(MAX(MIN(MAX($A57-$B$9+MIN(MAX($B$4-$B$5,0),$B$10),MIN(IF($B$6&gt;0,$B$6,$B$4),IF($B$7&gt;0,$B$7,$B$4))),IF($B$7&gt;0,$B$7,$B$4)),1),80)</f>
        <v>35</v>
      </c>
      <c r="D57" s="4" t="str">
        <f aca="false">IF(OR((B57-$B$4)&lt;-$B$11,(B57-$B$4)&gt;$B$12),"scaled","normal")</f>
        <v>scaled</v>
      </c>
      <c r="E57" s="4" t="str">
        <f aca="false">IF(OR((C57-$B$4)&lt;-$B$11,(C57-$B$4)&gt;$B$12),"scaled","normal")</f>
        <v>scaled</v>
      </c>
    </row>
    <row r="58" customFormat="false" ht="15" hidden="false" customHeight="false" outlineLevel="0" collapsed="false">
      <c r="A58" s="12" t="n">
        <v>43</v>
      </c>
      <c r="B58" s="4" t="n">
        <f aca="false">MIN(MAX($A58-$B$8+MIN(MAX($B$4-$B$5,0),$B$10),1),80)</f>
        <v>41</v>
      </c>
      <c r="C58" s="4" t="n">
        <f aca="false">MIN(MAX(MIN(MAX($A58-$B$9+MIN(MAX($B$4-$B$5,0),$B$10),MIN(IF($B$6&gt;0,$B$6,$B$4),IF($B$7&gt;0,$B$7,$B$4))),IF($B$7&gt;0,$B$7,$B$4)),1),80)</f>
        <v>35</v>
      </c>
      <c r="D58" s="4" t="str">
        <f aca="false">IF(OR((B58-$B$4)&lt;-$B$11,(B58-$B$4)&gt;$B$12),"scaled","normal")</f>
        <v>scaled</v>
      </c>
      <c r="E58" s="4" t="str">
        <f aca="false">IF(OR((C58-$B$4)&lt;-$B$11,(C58-$B$4)&gt;$B$12),"scaled","normal")</f>
        <v>scaled</v>
      </c>
    </row>
    <row r="59" customFormat="false" ht="15" hidden="false" customHeight="false" outlineLevel="0" collapsed="false">
      <c r="A59" s="12" t="n">
        <v>44</v>
      </c>
      <c r="B59" s="4" t="n">
        <f aca="false">MIN(MAX($A59-$B$8+MIN(MAX($B$4-$B$5,0),$B$10),1),80)</f>
        <v>42</v>
      </c>
      <c r="C59" s="4" t="n">
        <f aca="false">MIN(MAX(MIN(MAX($A59-$B$9+MIN(MAX($B$4-$B$5,0),$B$10),MIN(IF($B$6&gt;0,$B$6,$B$4),IF($B$7&gt;0,$B$7,$B$4))),IF($B$7&gt;0,$B$7,$B$4)),1),80)</f>
        <v>35</v>
      </c>
      <c r="D59" s="4" t="str">
        <f aca="false">IF(OR((B59-$B$4)&lt;-$B$11,(B59-$B$4)&gt;$B$12),"scaled","normal")</f>
        <v>scaled</v>
      </c>
      <c r="E59" s="4" t="str">
        <f aca="false">IF(OR((C59-$B$4)&lt;-$B$11,(C59-$B$4)&gt;$B$12),"scaled","normal")</f>
        <v>scaled</v>
      </c>
    </row>
    <row r="60" customFormat="false" ht="15" hidden="false" customHeight="false" outlineLevel="0" collapsed="false">
      <c r="A60" s="12" t="n">
        <v>45</v>
      </c>
      <c r="B60" s="4" t="n">
        <f aca="false">MIN(MAX($A60-$B$8+MIN(MAX($B$4-$B$5,0),$B$10),1),80)</f>
        <v>43</v>
      </c>
      <c r="C60" s="4" t="n">
        <f aca="false">MIN(MAX(MIN(MAX($A60-$B$9+MIN(MAX($B$4-$B$5,0),$B$10),MIN(IF($B$6&gt;0,$B$6,$B$4),IF($B$7&gt;0,$B$7,$B$4))),IF($B$7&gt;0,$B$7,$B$4)),1),80)</f>
        <v>35</v>
      </c>
      <c r="D60" s="4" t="str">
        <f aca="false">IF(OR((B60-$B$4)&lt;-$B$11,(B60-$B$4)&gt;$B$12),"scaled","normal")</f>
        <v>scaled</v>
      </c>
      <c r="E60" s="4" t="str">
        <f aca="false">IF(OR((C60-$B$4)&lt;-$B$11,(C60-$B$4)&gt;$B$12),"scaled","normal")</f>
        <v>scaled</v>
      </c>
    </row>
    <row r="61" customFormat="false" ht="15" hidden="false" customHeight="false" outlineLevel="0" collapsed="false">
      <c r="A61" s="12" t="n">
        <v>46</v>
      </c>
      <c r="B61" s="4" t="n">
        <f aca="false">MIN(MAX($A61-$B$8+MIN(MAX($B$4-$B$5,0),$B$10),1),80)</f>
        <v>44</v>
      </c>
      <c r="C61" s="4" t="n">
        <f aca="false">MIN(MAX(MIN(MAX($A61-$B$9+MIN(MAX($B$4-$B$5,0),$B$10),MIN(IF($B$6&gt;0,$B$6,$B$4),IF($B$7&gt;0,$B$7,$B$4))),IF($B$7&gt;0,$B$7,$B$4)),1),80)</f>
        <v>35</v>
      </c>
      <c r="D61" s="4" t="str">
        <f aca="false">IF(OR((B61-$B$4)&lt;-$B$11,(B61-$B$4)&gt;$B$12),"scaled","normal")</f>
        <v>scaled</v>
      </c>
      <c r="E61" s="4" t="str">
        <f aca="false">IF(OR((C61-$B$4)&lt;-$B$11,(C61-$B$4)&gt;$B$12),"scaled","normal")</f>
        <v>scaled</v>
      </c>
    </row>
    <row r="62" customFormat="false" ht="15" hidden="false" customHeight="false" outlineLevel="0" collapsed="false">
      <c r="A62" s="12" t="n">
        <v>47</v>
      </c>
      <c r="B62" s="4" t="n">
        <f aca="false">MIN(MAX($A62-$B$8+MIN(MAX($B$4-$B$5,0),$B$10),1),80)</f>
        <v>45</v>
      </c>
      <c r="C62" s="4" t="n">
        <f aca="false">MIN(MAX(MIN(MAX($A62-$B$9+MIN(MAX($B$4-$B$5,0),$B$10),MIN(IF($B$6&gt;0,$B$6,$B$4),IF($B$7&gt;0,$B$7,$B$4))),IF($B$7&gt;0,$B$7,$B$4)),1),80)</f>
        <v>35</v>
      </c>
      <c r="D62" s="4" t="str">
        <f aca="false">IF(OR((B62-$B$4)&lt;-$B$11,(B62-$B$4)&gt;$B$12),"scaled","normal")</f>
        <v>scaled</v>
      </c>
      <c r="E62" s="4" t="str">
        <f aca="false">IF(OR((C62-$B$4)&lt;-$B$11,(C62-$B$4)&gt;$B$12),"scaled","normal")</f>
        <v>scaled</v>
      </c>
    </row>
    <row r="63" customFormat="false" ht="15" hidden="false" customHeight="false" outlineLevel="0" collapsed="false">
      <c r="A63" s="12" t="n">
        <v>48</v>
      </c>
      <c r="B63" s="4" t="n">
        <f aca="false">MIN(MAX($A63-$B$8+MIN(MAX($B$4-$B$5,0),$B$10),1),80)</f>
        <v>46</v>
      </c>
      <c r="C63" s="4" t="n">
        <f aca="false">MIN(MAX(MIN(MAX($A63-$B$9+MIN(MAX($B$4-$B$5,0),$B$10),MIN(IF($B$6&gt;0,$B$6,$B$4),IF($B$7&gt;0,$B$7,$B$4))),IF($B$7&gt;0,$B$7,$B$4)),1),80)</f>
        <v>35</v>
      </c>
      <c r="D63" s="4" t="str">
        <f aca="false">IF(OR((B63-$B$4)&lt;-$B$11,(B63-$B$4)&gt;$B$12),"scaled","normal")</f>
        <v>scaled</v>
      </c>
      <c r="E63" s="4" t="str">
        <f aca="false">IF(OR((C63-$B$4)&lt;-$B$11,(C63-$B$4)&gt;$B$12),"scaled","normal")</f>
        <v>scaled</v>
      </c>
    </row>
    <row r="64" customFormat="false" ht="15" hidden="false" customHeight="false" outlineLevel="0" collapsed="false">
      <c r="A64" s="12" t="n">
        <v>49</v>
      </c>
      <c r="B64" s="4" t="n">
        <f aca="false">MIN(MAX($A64-$B$8+MIN(MAX($B$4-$B$5,0),$B$10),1),80)</f>
        <v>47</v>
      </c>
      <c r="C64" s="4" t="n">
        <f aca="false">MIN(MAX(MIN(MAX($A64-$B$9+MIN(MAX($B$4-$B$5,0),$B$10),MIN(IF($B$6&gt;0,$B$6,$B$4),IF($B$7&gt;0,$B$7,$B$4))),IF($B$7&gt;0,$B$7,$B$4)),1),80)</f>
        <v>35</v>
      </c>
      <c r="D64" s="4" t="str">
        <f aca="false">IF(OR((B64-$B$4)&lt;-$B$11,(B64-$B$4)&gt;$B$12),"scaled","normal")</f>
        <v>scaled</v>
      </c>
      <c r="E64" s="4" t="str">
        <f aca="false">IF(OR((C64-$B$4)&lt;-$B$11,(C64-$B$4)&gt;$B$12),"scaled","normal")</f>
        <v>scaled</v>
      </c>
    </row>
    <row r="65" customFormat="false" ht="15" hidden="false" customHeight="false" outlineLevel="0" collapsed="false">
      <c r="A65" s="12" t="n">
        <v>50</v>
      </c>
      <c r="B65" s="4" t="n">
        <f aca="false">MIN(MAX($A65-$B$8+MIN(MAX($B$4-$B$5,0),$B$10),1),80)</f>
        <v>48</v>
      </c>
      <c r="C65" s="4" t="n">
        <f aca="false">MIN(MAX(MIN(MAX($A65-$B$9+MIN(MAX($B$4-$B$5,0),$B$10),MIN(IF($B$6&gt;0,$B$6,$B$4),IF($B$7&gt;0,$B$7,$B$4))),IF($B$7&gt;0,$B$7,$B$4)),1),80)</f>
        <v>35</v>
      </c>
      <c r="D65" s="4" t="str">
        <f aca="false">IF(OR((B65-$B$4)&lt;-$B$11,(B65-$B$4)&gt;$B$12),"scaled","normal")</f>
        <v>scaled</v>
      </c>
      <c r="E65" s="4" t="str">
        <f aca="false">IF(OR((C65-$B$4)&lt;-$B$11,(C65-$B$4)&gt;$B$12),"scaled","normal")</f>
        <v>scaled</v>
      </c>
    </row>
    <row r="66" customFormat="false" ht="15" hidden="false" customHeight="false" outlineLevel="0" collapsed="false">
      <c r="A66" s="12" t="n">
        <v>51</v>
      </c>
      <c r="B66" s="4" t="n">
        <f aca="false">MIN(MAX($A66-$B$8+MIN(MAX($B$4-$B$5,0),$B$10),1),80)</f>
        <v>49</v>
      </c>
      <c r="C66" s="4" t="n">
        <f aca="false">MIN(MAX(MIN(MAX($A66-$B$9+MIN(MAX($B$4-$B$5,0),$B$10),MIN(IF($B$6&gt;0,$B$6,$B$4),IF($B$7&gt;0,$B$7,$B$4))),IF($B$7&gt;0,$B$7,$B$4)),1),80)</f>
        <v>35</v>
      </c>
      <c r="D66" s="4" t="str">
        <f aca="false">IF(OR((B66-$B$4)&lt;-$B$11,(B66-$B$4)&gt;$B$12),"scaled","normal")</f>
        <v>scaled</v>
      </c>
      <c r="E66" s="4" t="str">
        <f aca="false">IF(OR((C66-$B$4)&lt;-$B$11,(C66-$B$4)&gt;$B$12),"scaled","normal")</f>
        <v>scaled</v>
      </c>
    </row>
    <row r="67" customFormat="false" ht="15" hidden="false" customHeight="false" outlineLevel="0" collapsed="false">
      <c r="A67" s="12" t="n">
        <v>52</v>
      </c>
      <c r="B67" s="4" t="n">
        <f aca="false">MIN(MAX($A67-$B$8+MIN(MAX($B$4-$B$5,0),$B$10),1),80)</f>
        <v>50</v>
      </c>
      <c r="C67" s="4" t="n">
        <f aca="false">MIN(MAX(MIN(MAX($A67-$B$9+MIN(MAX($B$4-$B$5,0),$B$10),MIN(IF($B$6&gt;0,$B$6,$B$4),IF($B$7&gt;0,$B$7,$B$4))),IF($B$7&gt;0,$B$7,$B$4)),1),80)</f>
        <v>35</v>
      </c>
      <c r="D67" s="4" t="str">
        <f aca="false">IF(OR((B67-$B$4)&lt;-$B$11,(B67-$B$4)&gt;$B$12),"scaled","normal")</f>
        <v>scaled</v>
      </c>
      <c r="E67" s="4" t="str">
        <f aca="false">IF(OR((C67-$B$4)&lt;-$B$11,(C67-$B$4)&gt;$B$12),"scaled","normal")</f>
        <v>scaled</v>
      </c>
    </row>
    <row r="68" customFormat="false" ht="15" hidden="false" customHeight="false" outlineLevel="0" collapsed="false">
      <c r="A68" s="12" t="n">
        <v>53</v>
      </c>
      <c r="B68" s="4" t="n">
        <f aca="false">MIN(MAX($A68-$B$8+MIN(MAX($B$4-$B$5,0),$B$10),1),80)</f>
        <v>51</v>
      </c>
      <c r="C68" s="4" t="n">
        <f aca="false">MIN(MAX(MIN(MAX($A68-$B$9+MIN(MAX($B$4-$B$5,0),$B$10),MIN(IF($B$6&gt;0,$B$6,$B$4),IF($B$7&gt;0,$B$7,$B$4))),IF($B$7&gt;0,$B$7,$B$4)),1),80)</f>
        <v>35</v>
      </c>
      <c r="D68" s="4" t="str">
        <f aca="false">IF(OR((B68-$B$4)&lt;-$B$11,(B68-$B$4)&gt;$B$12),"scaled","normal")</f>
        <v>scaled</v>
      </c>
      <c r="E68" s="4" t="str">
        <f aca="false">IF(OR((C68-$B$4)&lt;-$B$11,(C68-$B$4)&gt;$B$12),"scaled","normal")</f>
        <v>scaled</v>
      </c>
    </row>
    <row r="69" customFormat="false" ht="15" hidden="false" customHeight="false" outlineLevel="0" collapsed="false">
      <c r="A69" s="12" t="n">
        <v>54</v>
      </c>
      <c r="B69" s="4" t="n">
        <f aca="false">MIN(MAX($A69-$B$8+MIN(MAX($B$4-$B$5,0),$B$10),1),80)</f>
        <v>52</v>
      </c>
      <c r="C69" s="4" t="n">
        <f aca="false">MIN(MAX(MIN(MAX($A69-$B$9+MIN(MAX($B$4-$B$5,0),$B$10),MIN(IF($B$6&gt;0,$B$6,$B$4),IF($B$7&gt;0,$B$7,$B$4))),IF($B$7&gt;0,$B$7,$B$4)),1),80)</f>
        <v>35</v>
      </c>
      <c r="D69" s="4" t="str">
        <f aca="false">IF(OR((B69-$B$4)&lt;-$B$11,(B69-$B$4)&gt;$B$12),"scaled","normal")</f>
        <v>scaled</v>
      </c>
      <c r="E69" s="4" t="str">
        <f aca="false">IF(OR((C69-$B$4)&lt;-$B$11,(C69-$B$4)&gt;$B$12),"scaled","normal")</f>
        <v>scaled</v>
      </c>
    </row>
    <row r="70" customFormat="false" ht="15" hidden="false" customHeight="false" outlineLevel="0" collapsed="false">
      <c r="A70" s="12" t="n">
        <v>55</v>
      </c>
      <c r="B70" s="4" t="n">
        <f aca="false">MIN(MAX($A70-$B$8+MIN(MAX($B$4-$B$5,0),$B$10),1),80)</f>
        <v>53</v>
      </c>
      <c r="C70" s="4" t="n">
        <f aca="false">MIN(MAX(MIN(MAX($A70-$B$9+MIN(MAX($B$4-$B$5,0),$B$10),MIN(IF($B$6&gt;0,$B$6,$B$4),IF($B$7&gt;0,$B$7,$B$4))),IF($B$7&gt;0,$B$7,$B$4)),1),80)</f>
        <v>35</v>
      </c>
      <c r="D70" s="4" t="str">
        <f aca="false">IF(OR((B70-$B$4)&lt;-$B$11,(B70-$B$4)&gt;$B$12),"scaled","normal")</f>
        <v>scaled</v>
      </c>
      <c r="E70" s="4" t="str">
        <f aca="false">IF(OR((C70-$B$4)&lt;-$B$11,(C70-$B$4)&gt;$B$12),"scaled","normal")</f>
        <v>scaled</v>
      </c>
    </row>
    <row r="71" customFormat="false" ht="15" hidden="false" customHeight="false" outlineLevel="0" collapsed="false">
      <c r="A71" s="12" t="n">
        <v>56</v>
      </c>
      <c r="B71" s="4" t="n">
        <f aca="false">MIN(MAX($A71-$B$8+MIN(MAX($B$4-$B$5,0),$B$10),1),80)</f>
        <v>54</v>
      </c>
      <c r="C71" s="4" t="n">
        <f aca="false">MIN(MAX(MIN(MAX($A71-$B$9+MIN(MAX($B$4-$B$5,0),$B$10),MIN(IF($B$6&gt;0,$B$6,$B$4),IF($B$7&gt;0,$B$7,$B$4))),IF($B$7&gt;0,$B$7,$B$4)),1),80)</f>
        <v>35</v>
      </c>
      <c r="D71" s="4" t="str">
        <f aca="false">IF(OR((B71-$B$4)&lt;-$B$11,(B71-$B$4)&gt;$B$12),"scaled","normal")</f>
        <v>scaled</v>
      </c>
      <c r="E71" s="4" t="str">
        <f aca="false">IF(OR((C71-$B$4)&lt;-$B$11,(C71-$B$4)&gt;$B$12),"scaled","normal")</f>
        <v>scaled</v>
      </c>
    </row>
    <row r="72" customFormat="false" ht="15" hidden="false" customHeight="false" outlineLevel="0" collapsed="false">
      <c r="A72" s="12" t="n">
        <v>57</v>
      </c>
      <c r="B72" s="4" t="n">
        <f aca="false">MIN(MAX($A72-$B$8+MIN(MAX($B$4-$B$5,0),$B$10),1),80)</f>
        <v>55</v>
      </c>
      <c r="C72" s="4" t="n">
        <f aca="false">MIN(MAX(MIN(MAX($A72-$B$9+MIN(MAX($B$4-$B$5,0),$B$10),MIN(IF($B$6&gt;0,$B$6,$B$4),IF($B$7&gt;0,$B$7,$B$4))),IF($B$7&gt;0,$B$7,$B$4)),1),80)</f>
        <v>35</v>
      </c>
      <c r="D72" s="4" t="str">
        <f aca="false">IF(OR((B72-$B$4)&lt;-$B$11,(B72-$B$4)&gt;$B$12),"scaled","normal")</f>
        <v>scaled</v>
      </c>
      <c r="E72" s="4" t="str">
        <f aca="false">IF(OR((C72-$B$4)&lt;-$B$11,(C72-$B$4)&gt;$B$12),"scaled","normal")</f>
        <v>scaled</v>
      </c>
    </row>
    <row r="73" customFormat="false" ht="15" hidden="false" customHeight="false" outlineLevel="0" collapsed="false">
      <c r="A73" s="12" t="n">
        <v>58</v>
      </c>
      <c r="B73" s="4" t="n">
        <f aca="false">MIN(MAX($A73-$B$8+MIN(MAX($B$4-$B$5,0),$B$10),1),80)</f>
        <v>56</v>
      </c>
      <c r="C73" s="4" t="n">
        <f aca="false">MIN(MAX(MIN(MAX($A73-$B$9+MIN(MAX($B$4-$B$5,0),$B$10),MIN(IF($B$6&gt;0,$B$6,$B$4),IF($B$7&gt;0,$B$7,$B$4))),IF($B$7&gt;0,$B$7,$B$4)),1),80)</f>
        <v>35</v>
      </c>
      <c r="D73" s="4" t="str">
        <f aca="false">IF(OR((B73-$B$4)&lt;-$B$11,(B73-$B$4)&gt;$B$12),"scaled","normal")</f>
        <v>scaled</v>
      </c>
      <c r="E73" s="4" t="str">
        <f aca="false">IF(OR((C73-$B$4)&lt;-$B$11,(C73-$B$4)&gt;$B$12),"scaled","normal")</f>
        <v>scaled</v>
      </c>
    </row>
    <row r="74" customFormat="false" ht="15" hidden="false" customHeight="false" outlineLevel="0" collapsed="false">
      <c r="A74" s="12" t="n">
        <v>59</v>
      </c>
      <c r="B74" s="4" t="n">
        <f aca="false">MIN(MAX($A74-$B$8+MIN(MAX($B$4-$B$5,0),$B$10),1),80)</f>
        <v>57</v>
      </c>
      <c r="C74" s="4" t="n">
        <f aca="false">MIN(MAX(MIN(MAX($A74-$B$9+MIN(MAX($B$4-$B$5,0),$B$10),MIN(IF($B$6&gt;0,$B$6,$B$4),IF($B$7&gt;0,$B$7,$B$4))),IF($B$7&gt;0,$B$7,$B$4)),1),80)</f>
        <v>35</v>
      </c>
      <c r="D74" s="4" t="str">
        <f aca="false">IF(OR((B74-$B$4)&lt;-$B$11,(B74-$B$4)&gt;$B$12),"scaled","normal")</f>
        <v>scaled</v>
      </c>
      <c r="E74" s="4" t="str">
        <f aca="false">IF(OR((C74-$B$4)&lt;-$B$11,(C74-$B$4)&gt;$B$12),"scaled","normal")</f>
        <v>scaled</v>
      </c>
    </row>
    <row r="75" customFormat="false" ht="15" hidden="false" customHeight="false" outlineLevel="0" collapsed="false">
      <c r="A75" s="12" t="n">
        <v>60</v>
      </c>
      <c r="B75" s="4" t="n">
        <f aca="false">MIN(MAX($A75-$B$8+MIN(MAX($B$4-$B$5,0),$B$10),1),80)</f>
        <v>58</v>
      </c>
      <c r="C75" s="4" t="n">
        <f aca="false">MIN(MAX(MIN(MAX($A75-$B$9+MIN(MAX($B$4-$B$5,0),$B$10),MIN(IF($B$6&gt;0,$B$6,$B$4),IF($B$7&gt;0,$B$7,$B$4))),IF($B$7&gt;0,$B$7,$B$4)),1),80)</f>
        <v>35</v>
      </c>
      <c r="D75" s="4" t="str">
        <f aca="false">IF(OR((B75-$B$4)&lt;-$B$11,(B75-$B$4)&gt;$B$12),"scaled","normal")</f>
        <v>scaled</v>
      </c>
      <c r="E75" s="4" t="str">
        <f aca="false">IF(OR((C75-$B$4)&lt;-$B$11,(C75-$B$4)&gt;$B$12),"scaled","normal")</f>
        <v>scaled</v>
      </c>
    </row>
    <row r="76" customFormat="false" ht="15" hidden="false" customHeight="false" outlineLevel="0" collapsed="false">
      <c r="A76" s="12" t="n">
        <v>61</v>
      </c>
      <c r="B76" s="4" t="n">
        <f aca="false">MIN(MAX($A76-$B$8+MIN(MAX($B$4-$B$5,0),$B$10),1),80)</f>
        <v>59</v>
      </c>
      <c r="C76" s="4" t="n">
        <f aca="false">MIN(MAX(MIN(MAX($A76-$B$9+MIN(MAX($B$4-$B$5,0),$B$10),MIN(IF($B$6&gt;0,$B$6,$B$4),IF($B$7&gt;0,$B$7,$B$4))),IF($B$7&gt;0,$B$7,$B$4)),1),80)</f>
        <v>35</v>
      </c>
      <c r="D76" s="4" t="str">
        <f aca="false">IF(OR((B76-$B$4)&lt;-$B$11,(B76-$B$4)&gt;$B$12),"scaled","normal")</f>
        <v>scaled</v>
      </c>
      <c r="E76" s="4" t="str">
        <f aca="false">IF(OR((C76-$B$4)&lt;-$B$11,(C76-$B$4)&gt;$B$12),"scaled","normal")</f>
        <v>scaled</v>
      </c>
    </row>
    <row r="77" customFormat="false" ht="15" hidden="false" customHeight="false" outlineLevel="0" collapsed="false">
      <c r="A77" s="12" t="n">
        <v>62</v>
      </c>
      <c r="B77" s="4" t="n">
        <f aca="false">MIN(MAX($A77-$B$8+MIN(MAX($B$4-$B$5,0),$B$10),1),80)</f>
        <v>60</v>
      </c>
      <c r="C77" s="4" t="n">
        <f aca="false">MIN(MAX(MIN(MAX($A77-$B$9+MIN(MAX($B$4-$B$5,0),$B$10),MIN(IF($B$6&gt;0,$B$6,$B$4),IF($B$7&gt;0,$B$7,$B$4))),IF($B$7&gt;0,$B$7,$B$4)),1),80)</f>
        <v>35</v>
      </c>
      <c r="D77" s="4" t="str">
        <f aca="false">IF(OR((B77-$B$4)&lt;-$B$11,(B77-$B$4)&gt;$B$12),"scaled","normal")</f>
        <v>scaled</v>
      </c>
      <c r="E77" s="4" t="str">
        <f aca="false">IF(OR((C77-$B$4)&lt;-$B$11,(C77-$B$4)&gt;$B$12),"scaled","normal")</f>
        <v>scaled</v>
      </c>
    </row>
    <row r="78" customFormat="false" ht="15" hidden="false" customHeight="false" outlineLevel="0" collapsed="false">
      <c r="A78" s="12" t="n">
        <v>63</v>
      </c>
      <c r="B78" s="4" t="n">
        <f aca="false">MIN(MAX($A78-$B$8+MIN(MAX($B$4-$B$5,0),$B$10),1),80)</f>
        <v>61</v>
      </c>
      <c r="C78" s="4" t="n">
        <f aca="false">MIN(MAX(MIN(MAX($A78-$B$9+MIN(MAX($B$4-$B$5,0),$B$10),MIN(IF($B$6&gt;0,$B$6,$B$4),IF($B$7&gt;0,$B$7,$B$4))),IF($B$7&gt;0,$B$7,$B$4)),1),80)</f>
        <v>35</v>
      </c>
      <c r="D78" s="4" t="str">
        <f aca="false">IF(OR((B78-$B$4)&lt;-$B$11,(B78-$B$4)&gt;$B$12),"scaled","normal")</f>
        <v>scaled</v>
      </c>
      <c r="E78" s="4" t="str">
        <f aca="false">IF(OR((C78-$B$4)&lt;-$B$11,(C78-$B$4)&gt;$B$12),"scaled","normal")</f>
        <v>scaled</v>
      </c>
    </row>
    <row r="79" customFormat="false" ht="15" hidden="false" customHeight="false" outlineLevel="0" collapsed="false">
      <c r="A79" s="12" t="n">
        <v>64</v>
      </c>
      <c r="B79" s="4" t="n">
        <f aca="false">MIN(MAX($A79-$B$8+MIN(MAX($B$4-$B$5,0),$B$10),1),80)</f>
        <v>62</v>
      </c>
      <c r="C79" s="4" t="n">
        <f aca="false">MIN(MAX(MIN(MAX($A79-$B$9+MIN(MAX($B$4-$B$5,0),$B$10),MIN(IF($B$6&gt;0,$B$6,$B$4),IF($B$7&gt;0,$B$7,$B$4))),IF($B$7&gt;0,$B$7,$B$4)),1),80)</f>
        <v>35</v>
      </c>
      <c r="D79" s="4" t="str">
        <f aca="false">IF(OR((B79-$B$4)&lt;-$B$11,(B79-$B$4)&gt;$B$12),"scaled","normal")</f>
        <v>scaled</v>
      </c>
      <c r="E79" s="4" t="str">
        <f aca="false">IF(OR((C79-$B$4)&lt;-$B$11,(C79-$B$4)&gt;$B$12),"scaled","normal")</f>
        <v>scaled</v>
      </c>
    </row>
    <row r="80" customFormat="false" ht="15" hidden="false" customHeight="false" outlineLevel="0" collapsed="false">
      <c r="A80" s="12" t="n">
        <v>65</v>
      </c>
      <c r="B80" s="4" t="n">
        <f aca="false">MIN(MAX($A80-$B$8+MIN(MAX($B$4-$B$5,0),$B$10),1),80)</f>
        <v>63</v>
      </c>
      <c r="C80" s="4" t="n">
        <f aca="false">MIN(MAX(MIN(MAX($A80-$B$9+MIN(MAX($B$4-$B$5,0),$B$10),MIN(IF($B$6&gt;0,$B$6,$B$4),IF($B$7&gt;0,$B$7,$B$4))),IF($B$7&gt;0,$B$7,$B$4)),1),80)</f>
        <v>35</v>
      </c>
      <c r="D80" s="4" t="str">
        <f aca="false">IF(OR((B80-$B$4)&lt;-$B$11,(B80-$B$4)&gt;$B$12),"scaled","normal")</f>
        <v>scaled</v>
      </c>
      <c r="E80" s="4" t="str">
        <f aca="false">IF(OR((C80-$B$4)&lt;-$B$11,(C80-$B$4)&gt;$B$12),"scaled","normal")</f>
        <v>scaled</v>
      </c>
    </row>
    <row r="81" customFormat="false" ht="15" hidden="false" customHeight="false" outlineLevel="0" collapsed="false">
      <c r="A81" s="12" t="n">
        <v>66</v>
      </c>
      <c r="B81" s="4" t="n">
        <f aca="false">MIN(MAX($A81-$B$8+MIN(MAX($B$4-$B$5,0),$B$10),1),80)</f>
        <v>64</v>
      </c>
      <c r="C81" s="4" t="n">
        <f aca="false">MIN(MAX(MIN(MAX($A81-$B$9+MIN(MAX($B$4-$B$5,0),$B$10),MIN(IF($B$6&gt;0,$B$6,$B$4),IF($B$7&gt;0,$B$7,$B$4))),IF($B$7&gt;0,$B$7,$B$4)),1),80)</f>
        <v>35</v>
      </c>
      <c r="D81" s="4" t="str">
        <f aca="false">IF(OR((B81-$B$4)&lt;-$B$11,(B81-$B$4)&gt;$B$12),"scaled","normal")</f>
        <v>scaled</v>
      </c>
      <c r="E81" s="4" t="str">
        <f aca="false">IF(OR((C81-$B$4)&lt;-$B$11,(C81-$B$4)&gt;$B$12),"scaled","normal")</f>
        <v>scaled</v>
      </c>
    </row>
    <row r="82" customFormat="false" ht="15" hidden="false" customHeight="false" outlineLevel="0" collapsed="false">
      <c r="A82" s="12" t="n">
        <v>67</v>
      </c>
      <c r="B82" s="4" t="n">
        <f aca="false">MIN(MAX($A82-$B$8+MIN(MAX($B$4-$B$5,0),$B$10),1),80)</f>
        <v>65</v>
      </c>
      <c r="C82" s="4" t="n">
        <f aca="false">MIN(MAX(MIN(MAX($A82-$B$9+MIN(MAX($B$4-$B$5,0),$B$10),MIN(IF($B$6&gt;0,$B$6,$B$4),IF($B$7&gt;0,$B$7,$B$4))),IF($B$7&gt;0,$B$7,$B$4)),1),80)</f>
        <v>35</v>
      </c>
      <c r="D82" s="4" t="str">
        <f aca="false">IF(OR((B82-$B$4)&lt;-$B$11,(B82-$B$4)&gt;$B$12),"scaled","normal")</f>
        <v>scaled</v>
      </c>
      <c r="E82" s="4" t="str">
        <f aca="false">IF(OR((C82-$B$4)&lt;-$B$11,(C82-$B$4)&gt;$B$12),"scaled","normal")</f>
        <v>scaled</v>
      </c>
    </row>
    <row r="83" customFormat="false" ht="15" hidden="false" customHeight="false" outlineLevel="0" collapsed="false">
      <c r="A83" s="12" t="n">
        <v>68</v>
      </c>
      <c r="B83" s="4" t="n">
        <f aca="false">MIN(MAX($A83-$B$8+MIN(MAX($B$4-$B$5,0),$B$10),1),80)</f>
        <v>66</v>
      </c>
      <c r="C83" s="4" t="n">
        <f aca="false">MIN(MAX(MIN(MAX($A83-$B$9+MIN(MAX($B$4-$B$5,0),$B$10),MIN(IF($B$6&gt;0,$B$6,$B$4),IF($B$7&gt;0,$B$7,$B$4))),IF($B$7&gt;0,$B$7,$B$4)),1),80)</f>
        <v>35</v>
      </c>
      <c r="D83" s="4" t="str">
        <f aca="false">IF(OR((B83-$B$4)&lt;-$B$11,(B83-$B$4)&gt;$B$12),"scaled","normal")</f>
        <v>scaled</v>
      </c>
      <c r="E83" s="4" t="str">
        <f aca="false">IF(OR((C83-$B$4)&lt;-$B$11,(C83-$B$4)&gt;$B$12),"scaled","normal")</f>
        <v>scaled</v>
      </c>
    </row>
    <row r="84" customFormat="false" ht="15" hidden="false" customHeight="false" outlineLevel="0" collapsed="false">
      <c r="A84" s="12" t="n">
        <v>69</v>
      </c>
      <c r="B84" s="4" t="n">
        <f aca="false">MIN(MAX($A84-$B$8+MIN(MAX($B$4-$B$5,0),$B$10),1),80)</f>
        <v>67</v>
      </c>
      <c r="C84" s="4" t="n">
        <f aca="false">MIN(MAX(MIN(MAX($A84-$B$9+MIN(MAX($B$4-$B$5,0),$B$10),MIN(IF($B$6&gt;0,$B$6,$B$4),IF($B$7&gt;0,$B$7,$B$4))),IF($B$7&gt;0,$B$7,$B$4)),1),80)</f>
        <v>35</v>
      </c>
      <c r="D84" s="4" t="str">
        <f aca="false">IF(OR((B84-$B$4)&lt;-$B$11,(B84-$B$4)&gt;$B$12),"scaled","normal")</f>
        <v>scaled</v>
      </c>
      <c r="E84" s="4" t="str">
        <f aca="false">IF(OR((C84-$B$4)&lt;-$B$11,(C84-$B$4)&gt;$B$12),"scaled","normal")</f>
        <v>scaled</v>
      </c>
    </row>
    <row r="85" customFormat="false" ht="15" hidden="false" customHeight="false" outlineLevel="0" collapsed="false">
      <c r="A85" s="12" t="n">
        <v>70</v>
      </c>
      <c r="B85" s="4" t="n">
        <f aca="false">MIN(MAX($A85-$B$8+MIN(MAX($B$4-$B$5,0),$B$10),1),80)</f>
        <v>68</v>
      </c>
      <c r="C85" s="4" t="n">
        <f aca="false">MIN(MAX(MIN(MAX($A85-$B$9+MIN(MAX($B$4-$B$5,0),$B$10),MIN(IF($B$6&gt;0,$B$6,$B$4),IF($B$7&gt;0,$B$7,$B$4))),IF($B$7&gt;0,$B$7,$B$4)),1),80)</f>
        <v>35</v>
      </c>
      <c r="D85" s="4" t="str">
        <f aca="false">IF(OR((B85-$B$4)&lt;-$B$11,(B85-$B$4)&gt;$B$12),"scaled","normal")</f>
        <v>scaled</v>
      </c>
      <c r="E85" s="4" t="str">
        <f aca="false">IF(OR((C85-$B$4)&lt;-$B$11,(C85-$B$4)&gt;$B$12),"scaled","normal")</f>
        <v>scaled</v>
      </c>
    </row>
    <row r="86" customFormat="false" ht="15" hidden="false" customHeight="false" outlineLevel="0" collapsed="false">
      <c r="A86" s="12" t="n">
        <v>71</v>
      </c>
      <c r="B86" s="4" t="n">
        <f aca="false">MIN(MAX($A86-$B$8+MIN(MAX($B$4-$B$5,0),$B$10),1),80)</f>
        <v>69</v>
      </c>
      <c r="C86" s="4" t="n">
        <f aca="false">MIN(MAX(MIN(MAX($A86-$B$9+MIN(MAX($B$4-$B$5,0),$B$10),MIN(IF($B$6&gt;0,$B$6,$B$4),IF($B$7&gt;0,$B$7,$B$4))),IF($B$7&gt;0,$B$7,$B$4)),1),80)</f>
        <v>35</v>
      </c>
      <c r="D86" s="4" t="str">
        <f aca="false">IF(OR((B86-$B$4)&lt;-$B$11,(B86-$B$4)&gt;$B$12),"scaled","normal")</f>
        <v>scaled</v>
      </c>
      <c r="E86" s="4" t="str">
        <f aca="false">IF(OR((C86-$B$4)&lt;-$B$11,(C86-$B$4)&gt;$B$12),"scaled","normal")</f>
        <v>scaled</v>
      </c>
    </row>
    <row r="87" customFormat="false" ht="15" hidden="false" customHeight="false" outlineLevel="0" collapsed="false">
      <c r="A87" s="12" t="n">
        <v>72</v>
      </c>
      <c r="B87" s="4" t="n">
        <f aca="false">MIN(MAX($A87-$B$8+MIN(MAX($B$4-$B$5,0),$B$10),1),80)</f>
        <v>70</v>
      </c>
      <c r="C87" s="4" t="n">
        <f aca="false">MIN(MAX(MIN(MAX($A87-$B$9+MIN(MAX($B$4-$B$5,0),$B$10),MIN(IF($B$6&gt;0,$B$6,$B$4),IF($B$7&gt;0,$B$7,$B$4))),IF($B$7&gt;0,$B$7,$B$4)),1),80)</f>
        <v>35</v>
      </c>
      <c r="D87" s="4" t="str">
        <f aca="false">IF(OR((B87-$B$4)&lt;-$B$11,(B87-$B$4)&gt;$B$12),"scaled","normal")</f>
        <v>scaled</v>
      </c>
      <c r="E87" s="4" t="str">
        <f aca="false">IF(OR((C87-$B$4)&lt;-$B$11,(C87-$B$4)&gt;$B$12),"scaled","normal")</f>
        <v>scaled</v>
      </c>
    </row>
    <row r="88" customFormat="false" ht="15" hidden="false" customHeight="false" outlineLevel="0" collapsed="false">
      <c r="A88" s="12" t="n">
        <v>73</v>
      </c>
      <c r="B88" s="4" t="n">
        <f aca="false">MIN(MAX($A88-$B$8+MIN(MAX($B$4-$B$5,0),$B$10),1),80)</f>
        <v>71</v>
      </c>
      <c r="C88" s="4" t="n">
        <f aca="false">MIN(MAX(MIN(MAX($A88-$B$9+MIN(MAX($B$4-$B$5,0),$B$10),MIN(IF($B$6&gt;0,$B$6,$B$4),IF($B$7&gt;0,$B$7,$B$4))),IF($B$7&gt;0,$B$7,$B$4)),1),80)</f>
        <v>35</v>
      </c>
      <c r="D88" s="4" t="str">
        <f aca="false">IF(OR((B88-$B$4)&lt;-$B$11,(B88-$B$4)&gt;$B$12),"scaled","normal")</f>
        <v>scaled</v>
      </c>
      <c r="E88" s="4" t="str">
        <f aca="false">IF(OR((C88-$B$4)&lt;-$B$11,(C88-$B$4)&gt;$B$12),"scaled","normal")</f>
        <v>scaled</v>
      </c>
    </row>
    <row r="89" customFormat="false" ht="15" hidden="false" customHeight="false" outlineLevel="0" collapsed="false">
      <c r="A89" s="12" t="n">
        <v>74</v>
      </c>
      <c r="B89" s="4" t="n">
        <f aca="false">MIN(MAX($A89-$B$8+MIN(MAX($B$4-$B$5,0),$B$10),1),80)</f>
        <v>72</v>
      </c>
      <c r="C89" s="4" t="n">
        <f aca="false">MIN(MAX(MIN(MAX($A89-$B$9+MIN(MAX($B$4-$B$5,0),$B$10),MIN(IF($B$6&gt;0,$B$6,$B$4),IF($B$7&gt;0,$B$7,$B$4))),IF($B$7&gt;0,$B$7,$B$4)),1),80)</f>
        <v>35</v>
      </c>
      <c r="D89" s="4" t="str">
        <f aca="false">IF(OR((B89-$B$4)&lt;-$B$11,(B89-$B$4)&gt;$B$12),"scaled","normal")</f>
        <v>scaled</v>
      </c>
      <c r="E89" s="4" t="str">
        <f aca="false">IF(OR((C89-$B$4)&lt;-$B$11,(C89-$B$4)&gt;$B$12),"scaled","normal")</f>
        <v>scaled</v>
      </c>
    </row>
    <row r="90" customFormat="false" ht="15" hidden="false" customHeight="false" outlineLevel="0" collapsed="false">
      <c r="A90" s="12" t="n">
        <v>75</v>
      </c>
      <c r="B90" s="4" t="n">
        <f aca="false">MIN(MAX($A90-$B$8+MIN(MAX($B$4-$B$5,0),$B$10),1),80)</f>
        <v>73</v>
      </c>
      <c r="C90" s="4" t="n">
        <f aca="false">MIN(MAX(MIN(MAX($A90-$B$9+MIN(MAX($B$4-$B$5,0),$B$10),MIN(IF($B$6&gt;0,$B$6,$B$4),IF($B$7&gt;0,$B$7,$B$4))),IF($B$7&gt;0,$B$7,$B$4)),1),80)</f>
        <v>35</v>
      </c>
      <c r="D90" s="4" t="str">
        <f aca="false">IF(OR((B90-$B$4)&lt;-$B$11,(B90-$B$4)&gt;$B$12),"scaled","normal")</f>
        <v>scaled</v>
      </c>
      <c r="E90" s="4" t="str">
        <f aca="false">IF(OR((C90-$B$4)&lt;-$B$11,(C90-$B$4)&gt;$B$12),"scaled","normal")</f>
        <v>scaled</v>
      </c>
    </row>
    <row r="91" customFormat="false" ht="15" hidden="false" customHeight="false" outlineLevel="0" collapsed="false">
      <c r="A91" s="12" t="n">
        <v>76</v>
      </c>
      <c r="B91" s="4" t="n">
        <f aca="false">MIN(MAX($A91-$B$8+MIN(MAX($B$4-$B$5,0),$B$10),1),80)</f>
        <v>74</v>
      </c>
      <c r="C91" s="4" t="n">
        <f aca="false">MIN(MAX(MIN(MAX($A91-$B$9+MIN(MAX($B$4-$B$5,0),$B$10),MIN(IF($B$6&gt;0,$B$6,$B$4),IF($B$7&gt;0,$B$7,$B$4))),IF($B$7&gt;0,$B$7,$B$4)),1),80)</f>
        <v>35</v>
      </c>
      <c r="D91" s="4" t="str">
        <f aca="false">IF(OR((B91-$B$4)&lt;-$B$11,(B91-$B$4)&gt;$B$12),"scaled","normal")</f>
        <v>scaled</v>
      </c>
      <c r="E91" s="4" t="str">
        <f aca="false">IF(OR((C91-$B$4)&lt;-$B$11,(C91-$B$4)&gt;$B$12),"scaled","normal")</f>
        <v>scaled</v>
      </c>
    </row>
    <row r="92" customFormat="false" ht="15" hidden="false" customHeight="false" outlineLevel="0" collapsed="false">
      <c r="A92" s="12" t="n">
        <v>77</v>
      </c>
      <c r="B92" s="4" t="n">
        <f aca="false">MIN(MAX($A92-$B$8+MIN(MAX($B$4-$B$5,0),$B$10),1),80)</f>
        <v>75</v>
      </c>
      <c r="C92" s="4" t="n">
        <f aca="false">MIN(MAX(MIN(MAX($A92-$B$9+MIN(MAX($B$4-$B$5,0),$B$10),MIN(IF($B$6&gt;0,$B$6,$B$4),IF($B$7&gt;0,$B$7,$B$4))),IF($B$7&gt;0,$B$7,$B$4)),1),80)</f>
        <v>35</v>
      </c>
      <c r="D92" s="4" t="str">
        <f aca="false">IF(OR((B92-$B$4)&lt;-$B$11,(B92-$B$4)&gt;$B$12),"scaled","normal")</f>
        <v>scaled</v>
      </c>
      <c r="E92" s="4" t="str">
        <f aca="false">IF(OR((C92-$B$4)&lt;-$B$11,(C92-$B$4)&gt;$B$12),"scaled","normal")</f>
        <v>scaled</v>
      </c>
    </row>
    <row r="93" customFormat="false" ht="15" hidden="false" customHeight="false" outlineLevel="0" collapsed="false">
      <c r="A93" s="12" t="n">
        <v>78</v>
      </c>
      <c r="B93" s="4" t="n">
        <f aca="false">MIN(MAX($A93-$B$8+MIN(MAX($B$4-$B$5,0),$B$10),1),80)</f>
        <v>76</v>
      </c>
      <c r="C93" s="4" t="n">
        <f aca="false">MIN(MAX(MIN(MAX($A93-$B$9+MIN(MAX($B$4-$B$5,0),$B$10),MIN(IF($B$6&gt;0,$B$6,$B$4),IF($B$7&gt;0,$B$7,$B$4))),IF($B$7&gt;0,$B$7,$B$4)),1),80)</f>
        <v>35</v>
      </c>
      <c r="D93" s="4" t="str">
        <f aca="false">IF(OR((B93-$B$4)&lt;-$B$11,(B93-$B$4)&gt;$B$12),"scaled","normal")</f>
        <v>scaled</v>
      </c>
      <c r="E93" s="4" t="str">
        <f aca="false">IF(OR((C93-$B$4)&lt;-$B$11,(C93-$B$4)&gt;$B$12),"scaled","normal")</f>
        <v>scaled</v>
      </c>
    </row>
    <row r="94" customFormat="false" ht="15" hidden="false" customHeight="false" outlineLevel="0" collapsed="false">
      <c r="A94" s="12" t="n">
        <v>79</v>
      </c>
      <c r="B94" s="4" t="n">
        <f aca="false">MIN(MAX($A94-$B$8+MIN(MAX($B$4-$B$5,0),$B$10),1),80)</f>
        <v>77</v>
      </c>
      <c r="C94" s="4" t="n">
        <f aca="false">MIN(MAX(MIN(MAX($A94-$B$9+MIN(MAX($B$4-$B$5,0),$B$10),MIN(IF($B$6&gt;0,$B$6,$B$4),IF($B$7&gt;0,$B$7,$B$4))),IF($B$7&gt;0,$B$7,$B$4)),1),80)</f>
        <v>35</v>
      </c>
      <c r="D94" s="4" t="str">
        <f aca="false">IF(OR((B94-$B$4)&lt;-$B$11,(B94-$B$4)&gt;$B$12),"scaled","normal")</f>
        <v>scaled</v>
      </c>
      <c r="E94" s="4" t="str">
        <f aca="false">IF(OR((C94-$B$4)&lt;-$B$11,(C94-$B$4)&gt;$B$12),"scaled","normal")</f>
        <v>scaled</v>
      </c>
    </row>
    <row r="95" customFormat="false" ht="15" hidden="false" customHeight="false" outlineLevel="0" collapsed="false">
      <c r="A95" s="12" t="n">
        <v>80</v>
      </c>
      <c r="B95" s="4" t="n">
        <f aca="false">MIN(MAX($A95-$B$8+MIN(MAX($B$4-$B$5,0),$B$10),1),80)</f>
        <v>78</v>
      </c>
      <c r="C95" s="4" t="n">
        <f aca="false">MIN(MAX(MIN(MAX($A95-$B$9+MIN(MAX($B$4-$B$5,0),$B$10),MIN(IF($B$6&gt;0,$B$6,$B$4),IF($B$7&gt;0,$B$7,$B$4))),IF($B$7&gt;0,$B$7,$B$4)),1),80)</f>
        <v>35</v>
      </c>
      <c r="D95" s="4" t="str">
        <f aca="false">IF(OR((B95-$B$4)&lt;-$B$11,(B95-$B$4)&gt;$B$12),"scaled","normal")</f>
        <v>scaled</v>
      </c>
      <c r="E95" s="4" t="str">
        <f aca="false">IF(OR((C95-$B$4)&lt;-$B$11,(C95-$B$4)&gt;$B$12),"scaled","normal")</f>
        <v>scaled</v>
      </c>
    </row>
    <row r="96" customFormat="false" ht="15" hidden="false" customHeight="false" outlineLevel="0" collapsed="false">
      <c r="A96" s="2"/>
      <c r="B96" s="2"/>
      <c r="C96" s="2"/>
      <c r="D96" s="2"/>
      <c r="E96" s="2"/>
    </row>
    <row r="97" customFormat="false" ht="15" hidden="false" customHeight="false" outlineLevel="0" collapsed="false">
      <c r="A97" s="3" t="s">
        <v>79</v>
      </c>
      <c r="B97" s="2"/>
      <c r="C97" s="2"/>
      <c r="D97" s="2"/>
      <c r="E9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2026-10-29T12:31:00Z</dcterms:created>
  <dc:creator>openpyxl</dc:creator>
  <dc:description/>
  <dc:language>en-US</dc:language>
  <cp:lastModifiedBy/>
  <dcterms:modified xsi:type="dcterms:W3CDTF">2026-10-29T12:31:02Z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